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30" windowWidth="9555" windowHeight="7995"/>
  </bookViews>
  <sheets>
    <sheet name="Plan1 (3)" sheetId="5" r:id="rId1"/>
    <sheet name="Plan1 (2)" sheetId="4" r:id="rId2"/>
    <sheet name="Plan1" sheetId="1" r:id="rId3"/>
    <sheet name="Plan2" sheetId="2" r:id="rId4"/>
    <sheet name="Plan3" sheetId="3" r:id="rId5"/>
  </sheets>
  <definedNames>
    <definedName name="Tranformada" localSheetId="1">'Plan1 (2)'!$A$9:$B$10</definedName>
    <definedName name="Tranformada" localSheetId="0">'Plan1 (3)'!#REF!</definedName>
    <definedName name="Tranformada">Plan1!$A$9:$B$10</definedName>
  </definedNames>
  <calcPr calcId="145621"/>
</workbook>
</file>

<file path=xl/calcChain.xml><?xml version="1.0" encoding="utf-8"?>
<calcChain xmlns="http://schemas.openxmlformats.org/spreadsheetml/2006/main">
  <c r="E15" i="5" l="1"/>
  <c r="B19" i="5" l="1"/>
  <c r="B22" i="5" s="1"/>
  <c r="K15" i="5"/>
  <c r="J15" i="5"/>
  <c r="I15" i="5"/>
  <c r="H15" i="5"/>
  <c r="G15" i="5"/>
  <c r="F15" i="5"/>
  <c r="D15" i="5"/>
  <c r="C15" i="5"/>
  <c r="B15" i="5"/>
  <c r="B12" i="5" l="1"/>
  <c r="J16" i="5" s="1"/>
  <c r="A12" i="5"/>
  <c r="L8" i="5"/>
  <c r="L7" i="5"/>
  <c r="J22" i="5" l="1"/>
  <c r="J26" i="5" s="1"/>
  <c r="C16" i="5"/>
  <c r="D16" i="5"/>
  <c r="F16" i="5"/>
  <c r="G16" i="5"/>
  <c r="E16" i="5"/>
  <c r="E22" i="5" s="1"/>
  <c r="E26" i="5" s="1"/>
  <c r="H16" i="5"/>
  <c r="H23" i="5" s="1"/>
  <c r="H27" i="5" s="1"/>
  <c r="I16" i="5"/>
  <c r="I22" i="5" s="1"/>
  <c r="I26" i="5" s="1"/>
  <c r="B16" i="5"/>
  <c r="K16" i="5" s="1"/>
  <c r="J23" i="5"/>
  <c r="J27" i="5" s="1"/>
  <c r="C23" i="5"/>
  <c r="C27" i="5" s="1"/>
  <c r="D22" i="5"/>
  <c r="D26" i="5" s="1"/>
  <c r="K38" i="4"/>
  <c r="K37" i="4"/>
  <c r="A50" i="4" s="1" a="1"/>
  <c r="B56" i="4" s="1"/>
  <c r="B32" i="4"/>
  <c r="B35" i="4" s="1"/>
  <c r="A34" i="4"/>
  <c r="B34" i="4"/>
  <c r="A35" i="4"/>
  <c r="M37" i="4"/>
  <c r="M38" i="4"/>
  <c r="D20" i="4"/>
  <c r="D19" i="4"/>
  <c r="E16" i="4"/>
  <c r="E15" i="4"/>
  <c r="C16" i="4"/>
  <c r="C15" i="4"/>
  <c r="B7" i="4"/>
  <c r="B10" i="4" s="1"/>
  <c r="M13" i="1"/>
  <c r="M12" i="1"/>
  <c r="F23" i="5" l="1"/>
  <c r="F27" i="5" s="1"/>
  <c r="G22" i="5"/>
  <c r="G26" i="5" s="1"/>
  <c r="H22" i="5"/>
  <c r="H26" i="5" s="1"/>
  <c r="C22" i="5"/>
  <c r="C26" i="5" s="1"/>
  <c r="I23" i="5"/>
  <c r="I27" i="5" s="1"/>
  <c r="G23" i="5"/>
  <c r="G27" i="5" s="1"/>
  <c r="B23" i="5"/>
  <c r="F22" i="5"/>
  <c r="F26" i="5" s="1"/>
  <c r="D23" i="5"/>
  <c r="D27" i="5" s="1"/>
  <c r="E23" i="5"/>
  <c r="E27" i="5" s="1"/>
  <c r="G15" i="4" a="1"/>
  <c r="G16" i="4" s="1"/>
  <c r="A9" i="4"/>
  <c r="A19" i="4"/>
  <c r="B9" i="4"/>
  <c r="A10" i="4"/>
  <c r="A20" i="4"/>
  <c r="B20" i="4"/>
  <c r="B19" i="4"/>
  <c r="A53" i="4"/>
  <c r="A50" i="4"/>
  <c r="A54" i="4"/>
  <c r="A58" i="4"/>
  <c r="B50" i="4"/>
  <c r="B54" i="4"/>
  <c r="B58" i="4"/>
  <c r="B51" i="4"/>
  <c r="B55" i="4"/>
  <c r="B59" i="4"/>
  <c r="A52" i="4"/>
  <c r="A56" i="4"/>
  <c r="A57" i="4"/>
  <c r="B53" i="4"/>
  <c r="B57" i="4"/>
  <c r="A51" i="4"/>
  <c r="A55" i="4"/>
  <c r="A59" i="4"/>
  <c r="B52" i="4"/>
  <c r="A25" i="1" a="1"/>
  <c r="B25" i="1" s="1"/>
  <c r="B7" i="1"/>
  <c r="A9" i="1" s="1"/>
  <c r="K22" i="5" l="1"/>
  <c r="K26" i="5" s="1"/>
  <c r="B26" i="5"/>
  <c r="K23" i="5"/>
  <c r="K27" i="5" s="1"/>
  <c r="B27" i="5"/>
  <c r="G17" i="4"/>
  <c r="G15" i="4"/>
  <c r="F40" i="4" a="1"/>
  <c r="B40" i="4" a="1"/>
  <c r="D40" i="4" a="1"/>
  <c r="H40" i="4" a="1"/>
  <c r="G40" i="4" a="1"/>
  <c r="E40" i="4" a="1"/>
  <c r="I40" i="4" a="1"/>
  <c r="J40" i="4" a="1"/>
  <c r="C40" i="4" a="1"/>
  <c r="K40" i="4" a="1"/>
  <c r="F19" i="4" a="1"/>
  <c r="B27" i="1"/>
  <c r="A31" i="1"/>
  <c r="A33" i="1"/>
  <c r="A29" i="1"/>
  <c r="A25" i="1"/>
  <c r="B32" i="1"/>
  <c r="B28" i="1"/>
  <c r="A32" i="1"/>
  <c r="A28" i="1"/>
  <c r="B31" i="1"/>
  <c r="A27" i="1"/>
  <c r="B34" i="1"/>
  <c r="B30" i="1"/>
  <c r="B26" i="1"/>
  <c r="A34" i="1"/>
  <c r="A30" i="1"/>
  <c r="A26" i="1"/>
  <c r="B33" i="1"/>
  <c r="B29" i="1"/>
  <c r="A10" i="1"/>
  <c r="B10" i="1"/>
  <c r="B9" i="1"/>
  <c r="A29" i="5" l="1" a="1"/>
  <c r="A29" i="5" s="1"/>
  <c r="H40" i="4"/>
  <c r="H46" i="4" s="1"/>
  <c r="H41" i="4"/>
  <c r="H47" i="4" s="1"/>
  <c r="D40" i="4"/>
  <c r="D46" i="4" s="1"/>
  <c r="D41" i="4"/>
  <c r="D47" i="4" s="1"/>
  <c r="E41" i="4"/>
  <c r="E47" i="4" s="1"/>
  <c r="E40" i="4"/>
  <c r="E46" i="4" s="1"/>
  <c r="G40" i="4"/>
  <c r="G46" i="4" s="1"/>
  <c r="G41" i="4"/>
  <c r="G47" i="4" s="1"/>
  <c r="C41" i="4"/>
  <c r="C47" i="4" s="1"/>
  <c r="C40" i="4"/>
  <c r="C46" i="4" s="1"/>
  <c r="B40" i="4"/>
  <c r="B46" i="4" s="1"/>
  <c r="B41" i="4"/>
  <c r="B47" i="4" s="1"/>
  <c r="K41" i="4"/>
  <c r="K47" i="4" s="1"/>
  <c r="K40" i="4"/>
  <c r="K46" i="4" s="1"/>
  <c r="F41" i="4"/>
  <c r="F47" i="4" s="1"/>
  <c r="F40" i="4"/>
  <c r="F46" i="4" s="1"/>
  <c r="J40" i="4"/>
  <c r="J46" i="4" s="1"/>
  <c r="J41" i="4"/>
  <c r="J47" i="4" s="1"/>
  <c r="I40" i="4"/>
  <c r="I46" i="4" s="1"/>
  <c r="I41" i="4"/>
  <c r="I47" i="4" s="1"/>
  <c r="F20" i="4"/>
  <c r="E23" i="4" s="1"/>
  <c r="F19" i="4"/>
  <c r="E22" i="4" s="1"/>
  <c r="E15" i="1" a="1"/>
  <c r="E16" i="1" s="1"/>
  <c r="E22" i="1" s="1"/>
  <c r="K15" i="1" a="1"/>
  <c r="G15" i="1" a="1"/>
  <c r="G15" i="1" s="1"/>
  <c r="G21" i="1" s="1"/>
  <c r="F15" i="1" a="1"/>
  <c r="F16" i="1" s="1"/>
  <c r="F22" i="1" s="1"/>
  <c r="H15" i="1" a="1"/>
  <c r="B15" i="1" a="1"/>
  <c r="C15" i="1" a="1"/>
  <c r="I15" i="1" a="1"/>
  <c r="D15" i="1" a="1"/>
  <c r="J15" i="1" a="1"/>
  <c r="A36" i="5" l="1"/>
  <c r="B37" i="5"/>
  <c r="A33" i="5"/>
  <c r="B38" i="5"/>
  <c r="A30" i="5"/>
  <c r="B36" i="5"/>
  <c r="A32" i="5"/>
  <c r="B34" i="5"/>
  <c r="B29" i="5"/>
  <c r="B30" i="5"/>
  <c r="B32" i="5"/>
  <c r="A35" i="5"/>
  <c r="B31" i="5"/>
  <c r="B33" i="5"/>
  <c r="A34" i="5"/>
  <c r="A37" i="5"/>
  <c r="A31" i="5"/>
  <c r="A38" i="5"/>
  <c r="B35" i="5"/>
  <c r="G50" i="4" a="1"/>
  <c r="D50" i="4" a="1"/>
  <c r="G22" i="4" a="1"/>
  <c r="G24" i="4" s="1"/>
  <c r="E15" i="1"/>
  <c r="E21" i="1" s="1"/>
  <c r="K15" i="1"/>
  <c r="K21" i="1" s="1"/>
  <c r="K16" i="1"/>
  <c r="K22" i="1" s="1"/>
  <c r="G16" i="1"/>
  <c r="G22" i="1" s="1"/>
  <c r="F15" i="1"/>
  <c r="F21" i="1" s="1"/>
  <c r="H15" i="1"/>
  <c r="H21" i="1" s="1"/>
  <c r="H16" i="1"/>
  <c r="H22" i="1" s="1"/>
  <c r="J16" i="1"/>
  <c r="J22" i="1" s="1"/>
  <c r="J15" i="1"/>
  <c r="J21" i="1" s="1"/>
  <c r="D15" i="1"/>
  <c r="D21" i="1" s="1"/>
  <c r="D16" i="1"/>
  <c r="D22" i="1" s="1"/>
  <c r="I15" i="1"/>
  <c r="I21" i="1" s="1"/>
  <c r="I16" i="1"/>
  <c r="I22" i="1" s="1"/>
  <c r="C16" i="1"/>
  <c r="C22" i="1" s="1"/>
  <c r="C15" i="1"/>
  <c r="C21" i="1" s="1"/>
  <c r="B16" i="1"/>
  <c r="B22" i="1" s="1"/>
  <c r="B15" i="1"/>
  <c r="B21" i="1" s="1"/>
  <c r="G22" i="4" l="1"/>
  <c r="G23" i="4"/>
  <c r="H59" i="4"/>
  <c r="G53" i="4"/>
  <c r="H53" i="4"/>
  <c r="H50" i="4"/>
  <c r="G59" i="4"/>
  <c r="H52" i="4"/>
  <c r="G56" i="4"/>
  <c r="H55" i="4"/>
  <c r="H54" i="4"/>
  <c r="G57" i="4"/>
  <c r="H57" i="4"/>
  <c r="G50" i="4"/>
  <c r="G55" i="4"/>
  <c r="G52" i="4"/>
  <c r="H58" i="4"/>
  <c r="H51" i="4"/>
  <c r="G54" i="4"/>
  <c r="H56" i="4"/>
  <c r="G51" i="4"/>
  <c r="G58" i="4"/>
  <c r="D50" i="4"/>
  <c r="E53" i="4"/>
  <c r="E55" i="4"/>
  <c r="E51" i="4"/>
  <c r="D57" i="4"/>
  <c r="D55" i="4"/>
  <c r="D53" i="4"/>
  <c r="D51" i="4"/>
  <c r="E54" i="4"/>
  <c r="E58" i="4"/>
  <c r="D56" i="4"/>
  <c r="D58" i="4"/>
  <c r="E50" i="4"/>
  <c r="D52" i="4"/>
  <c r="D54" i="4"/>
  <c r="E57" i="4"/>
  <c r="E59" i="4"/>
  <c r="E56" i="4"/>
  <c r="D59" i="4"/>
  <c r="E52" i="4"/>
  <c r="D25" i="1" a="1"/>
  <c r="D28" i="1" s="1"/>
  <c r="G25" i="1" a="1"/>
  <c r="D33" i="1" l="1"/>
  <c r="E33" i="1"/>
  <c r="D31" i="1"/>
  <c r="E30" i="1"/>
  <c r="D25" i="1"/>
  <c r="E28" i="1"/>
  <c r="E34" i="1"/>
  <c r="D27" i="1"/>
  <c r="E29" i="1"/>
  <c r="D30" i="1"/>
  <c r="E27" i="1"/>
  <c r="E26" i="1"/>
  <c r="D32" i="1"/>
  <c r="E32" i="1"/>
  <c r="D26" i="1"/>
  <c r="D29" i="1"/>
  <c r="E25" i="1"/>
  <c r="E31" i="1"/>
  <c r="D34" i="1"/>
  <c r="H27" i="1"/>
  <c r="G25" i="1"/>
  <c r="G30" i="1"/>
  <c r="H26" i="1"/>
  <c r="H32" i="1"/>
  <c r="G27" i="1"/>
  <c r="G33" i="1"/>
  <c r="H28" i="1"/>
  <c r="H33" i="1"/>
  <c r="H29" i="1"/>
  <c r="H34" i="1"/>
  <c r="H25" i="1"/>
  <c r="H30" i="1"/>
  <c r="G26" i="1"/>
  <c r="G31" i="1"/>
  <c r="G29" i="1"/>
  <c r="G34" i="1"/>
  <c r="H31" i="1"/>
  <c r="G28" i="1"/>
  <c r="G32" i="1"/>
</calcChain>
</file>

<file path=xl/sharedStrings.xml><?xml version="1.0" encoding="utf-8"?>
<sst xmlns="http://schemas.openxmlformats.org/spreadsheetml/2006/main" count="53" uniqueCount="15">
  <si>
    <t>x</t>
  </si>
  <si>
    <t>y</t>
  </si>
  <si>
    <t>TetaGraus</t>
  </si>
  <si>
    <t>TetaRadianos</t>
  </si>
  <si>
    <t>x'</t>
  </si>
  <si>
    <t>y'</t>
  </si>
  <si>
    <t>Tx</t>
  </si>
  <si>
    <t>Ty</t>
  </si>
  <si>
    <t>Graus</t>
  </si>
  <si>
    <t>Radiano</t>
  </si>
  <si>
    <t>Baricentro</t>
  </si>
  <si>
    <t>Distancia até o baricentro</t>
  </si>
  <si>
    <t>Coordenada dos pontos</t>
  </si>
  <si>
    <t>Matrix de rotacao</t>
  </si>
  <si>
    <t>Matrix de Translação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</si>
</sst>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" fontId="0" fillId="2" borderId="0" xfId="0" applyNumberFormat="1" applyFont="1" applyFill="1"/>
    <xf numFmtId="4" fontId="0" fillId="2" borderId="0" xfId="0" applyNumberFormat="1" applyFill="1"/>
    <xf numFmtId="0" fontId="0" fillId="2" borderId="0" xfId="0" applyFill="1"/>
    <xf numFmtId="0" fontId="0" fillId="0" borderId="0" xfId="0" applyFill="1"/>
    <xf numFmtId="1" fontId="0" fillId="0" borderId="0" xfId="0" applyNumberFormat="1" applyFill="1"/>
    <xf numFmtId="3" fontId="0" fillId="0" borderId="0" xfId="0" applyNumberFormat="1" applyFill="1"/>
    <xf numFmtId="4" fontId="0" fillId="0" borderId="0" xfId="0" applyNumberForma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'Plan1 (3)'!$B$29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'Plan1 (3)'!$A$30:$A$38</c:f>
              <c:numCache>
                <c:formatCode>General</c:formatCode>
                <c:ptCount val="9"/>
                <c:pt idx="0">
                  <c:v>0.99999999999999978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'Plan1 (3)'!$B$30:$B$38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92960"/>
        <c:axId val="208793536"/>
      </c:scatterChart>
      <c:valAx>
        <c:axId val="20879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93536"/>
        <c:crosses val="autoZero"/>
        <c:crossBetween val="midCat"/>
      </c:valAx>
      <c:valAx>
        <c:axId val="20879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92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'Plan1 (2)'!$B$49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'Plan1 (2)'!$A$50:$A$59</c:f>
              <c:numCache>
                <c:formatCode>General</c:formatCode>
                <c:ptCount val="10"/>
                <c:pt idx="0">
                  <c:v>-0.99299999999999999</c:v>
                </c:pt>
                <c:pt idx="1">
                  <c:v>7.46E-2</c:v>
                </c:pt>
                <c:pt idx="2">
                  <c:v>1.1418999999999999</c:v>
                </c:pt>
                <c:pt idx="3">
                  <c:v>2.2092999999999998</c:v>
                </c:pt>
                <c:pt idx="4">
                  <c:v>1.2117</c:v>
                </c:pt>
                <c:pt idx="5">
                  <c:v>0.21410000000000001</c:v>
                </c:pt>
                <c:pt idx="6">
                  <c:v>-0.78300000000000003</c:v>
                </c:pt>
                <c:pt idx="7">
                  <c:v>-0.85299999999999998</c:v>
                </c:pt>
                <c:pt idx="8">
                  <c:v>-0.92300000000000004</c:v>
                </c:pt>
                <c:pt idx="9">
                  <c:v>-0.99299999999999999</c:v>
                </c:pt>
              </c:numCache>
            </c:numRef>
          </c:xVal>
          <c:yVal>
            <c:numRef>
              <c:f>'Plan1 (2)'!$B$50:$B$59</c:f>
              <c:numCache>
                <c:formatCode>General</c:formatCode>
                <c:ptCount val="10"/>
                <c:pt idx="0">
                  <c:v>2.2092999999999998</c:v>
                </c:pt>
                <c:pt idx="1">
                  <c:v>3.1371000000000002</c:v>
                </c:pt>
                <c:pt idx="2">
                  <c:v>4.0648999999999997</c:v>
                </c:pt>
                <c:pt idx="3">
                  <c:v>4.9927000000000001</c:v>
                </c:pt>
                <c:pt idx="4">
                  <c:v>5.0624000000000002</c:v>
                </c:pt>
                <c:pt idx="5">
                  <c:v>5.1322000000000001</c:v>
                </c:pt>
                <c:pt idx="6">
                  <c:v>5.202</c:v>
                </c:pt>
                <c:pt idx="7">
                  <c:v>4.2043999999999997</c:v>
                </c:pt>
                <c:pt idx="8">
                  <c:v>3.2067999999999999</c:v>
                </c:pt>
                <c:pt idx="9">
                  <c:v>2.2092999999999998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95264"/>
        <c:axId val="208795840"/>
      </c:scatterChart>
      <c:valAx>
        <c:axId val="2087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95840"/>
        <c:crosses val="autoZero"/>
        <c:crossBetween val="midCat"/>
      </c:valAx>
      <c:valAx>
        <c:axId val="20879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95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'Plan1 (2)'!$E$49</c:f>
              <c:strCache>
                <c:ptCount val="1"/>
                <c:pt idx="0">
                  <c:v>y'</c:v>
                </c:pt>
              </c:strCache>
            </c:strRef>
          </c:tx>
          <c:xVal>
            <c:numRef>
              <c:f>'Plan1 (2)'!$D$50:$D$59</c:f>
              <c:numCache>
                <c:formatCode>General</c:formatCode>
                <c:ptCount val="10"/>
                <c:pt idx="0">
                  <c:v>-1.563498474273247</c:v>
                </c:pt>
                <c:pt idx="1">
                  <c:v>-0.79299182641650956</c:v>
                </c:pt>
                <c:pt idx="2">
                  <c:v>-2.2773557068553663E-2</c:v>
                </c:pt>
                <c:pt idx="3">
                  <c:v>0.74754083844899588</c:v>
                </c:pt>
                <c:pt idx="4">
                  <c:v>-0.2306257531195155</c:v>
                </c:pt>
                <c:pt idx="5">
                  <c:v>-1.2088199084236091</c:v>
                </c:pt>
                <c:pt idx="6">
                  <c:v>-2.1865334328797332</c:v>
                </c:pt>
                <c:pt idx="7">
                  <c:v>-1.9788459254323771</c:v>
                </c:pt>
                <c:pt idx="8">
                  <c:v>-1.7711584179850213</c:v>
                </c:pt>
                <c:pt idx="9">
                  <c:v>-1.563498474273247</c:v>
                </c:pt>
              </c:numCache>
            </c:numRef>
          </c:xVal>
          <c:yVal>
            <c:numRef>
              <c:f>'Plan1 (2)'!$E$50:$E$59</c:f>
              <c:numCache>
                <c:formatCode>General</c:formatCode>
                <c:ptCount val="10"/>
                <c:pt idx="0">
                  <c:v>1.8500075705102477</c:v>
                </c:pt>
                <c:pt idx="1">
                  <c:v>3.0361366130720486</c:v>
                </c:pt>
                <c:pt idx="2">
                  <c:v>4.2221829644271036</c:v>
                </c:pt>
                <c:pt idx="3">
                  <c:v>5.408256879517741</c:v>
                </c:pt>
                <c:pt idx="4">
                  <c:v>5.200280993561603</c:v>
                </c:pt>
                <c:pt idx="5">
                  <c:v>4.9924012337750598</c:v>
                </c:pt>
                <c:pt idx="6">
                  <c:v>4.7846592926664249</c:v>
                </c:pt>
                <c:pt idx="7">
                  <c:v>3.806410009891168</c:v>
                </c:pt>
                <c:pt idx="8">
                  <c:v>2.8281607271159106</c:v>
                </c:pt>
                <c:pt idx="9">
                  <c:v>1.8500075705102477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239168"/>
        <c:axId val="239239744"/>
      </c:scatterChart>
      <c:valAx>
        <c:axId val="23923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239744"/>
        <c:crosses val="autoZero"/>
        <c:crossBetween val="midCat"/>
      </c:valAx>
      <c:valAx>
        <c:axId val="23923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239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'Plan1 (2)'!$H$49</c:f>
              <c:strCache>
                <c:ptCount val="1"/>
                <c:pt idx="0">
                  <c:v>y'</c:v>
                </c:pt>
              </c:strCache>
            </c:strRef>
          </c:tx>
          <c:xVal>
            <c:numRef>
              <c:f>'Plan1 (2)'!$G$50:$G$59</c:f>
              <c:numCache>
                <c:formatCode>General</c:formatCode>
                <c:ptCount val="10"/>
                <c:pt idx="0">
                  <c:v>0.43650152572675305</c:v>
                </c:pt>
                <c:pt idx="1">
                  <c:v>1.2070081735834903</c:v>
                </c:pt>
                <c:pt idx="2">
                  <c:v>1.9772264429314463</c:v>
                </c:pt>
                <c:pt idx="3">
                  <c:v>2.7475408384489959</c:v>
                </c:pt>
                <c:pt idx="4">
                  <c:v>1.7693742468804845</c:v>
                </c:pt>
                <c:pt idx="5">
                  <c:v>0.79118009157639091</c:v>
                </c:pt>
                <c:pt idx="6">
                  <c:v>-0.18653343287973323</c:v>
                </c:pt>
                <c:pt idx="7">
                  <c:v>2.115407456762286E-2</c:v>
                </c:pt>
                <c:pt idx="8">
                  <c:v>0.22884158201497873</c:v>
                </c:pt>
                <c:pt idx="9">
                  <c:v>0.43650152572675305</c:v>
                </c:pt>
              </c:numCache>
            </c:numRef>
          </c:xVal>
          <c:yVal>
            <c:numRef>
              <c:f>'Plan1 (2)'!$H$50:$H$59</c:f>
              <c:numCache>
                <c:formatCode>General</c:formatCode>
                <c:ptCount val="10"/>
                <c:pt idx="0">
                  <c:v>3.8500075705102477</c:v>
                </c:pt>
                <c:pt idx="1">
                  <c:v>5.0361366130720491</c:v>
                </c:pt>
                <c:pt idx="2">
                  <c:v>6.2221829644271036</c:v>
                </c:pt>
                <c:pt idx="3">
                  <c:v>7.408256879517741</c:v>
                </c:pt>
                <c:pt idx="4">
                  <c:v>7.200280993561603</c:v>
                </c:pt>
                <c:pt idx="5">
                  <c:v>6.9924012337750598</c:v>
                </c:pt>
                <c:pt idx="6">
                  <c:v>6.7846592926664249</c:v>
                </c:pt>
                <c:pt idx="7">
                  <c:v>5.8064100098911684</c:v>
                </c:pt>
                <c:pt idx="8">
                  <c:v>4.828160727115911</c:v>
                </c:pt>
                <c:pt idx="9">
                  <c:v>3.8500075705102477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241472"/>
        <c:axId val="239242048"/>
      </c:scatterChart>
      <c:valAx>
        <c:axId val="23924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242048"/>
        <c:crosses val="autoZero"/>
        <c:crossBetween val="midCat"/>
      </c:valAx>
      <c:valAx>
        <c:axId val="23924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241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Plan1!$B$24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Plan1!$A$25:$A$34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</c:numCache>
            </c:numRef>
          </c:xVal>
          <c:yVal>
            <c:numRef>
              <c:f>Plan1!$B$25:$B$34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243776"/>
        <c:axId val="239244352"/>
      </c:scatterChart>
      <c:valAx>
        <c:axId val="23924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244352"/>
        <c:crosses val="autoZero"/>
        <c:crossBetween val="midCat"/>
      </c:valAx>
      <c:valAx>
        <c:axId val="23924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243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Plan1!$E$24</c:f>
              <c:strCache>
                <c:ptCount val="1"/>
                <c:pt idx="0">
                  <c:v>y'</c:v>
                </c:pt>
              </c:strCache>
            </c:strRef>
          </c:tx>
          <c:xVal>
            <c:numRef>
              <c:f>Plan1!$D$25:$D$34</c:f>
              <c:numCache>
                <c:formatCode>General</c:formatCode>
                <c:ptCount val="10"/>
                <c:pt idx="0">
                  <c:v>-2.9926921507794724</c:v>
                </c:pt>
                <c:pt idx="1">
                  <c:v>-1.9253716267755232</c:v>
                </c:pt>
                <c:pt idx="2">
                  <c:v>-0.8580511027715737</c:v>
                </c:pt>
                <c:pt idx="3">
                  <c:v>0.20926942123237569</c:v>
                </c:pt>
                <c:pt idx="4">
                  <c:v>-0.78829462902744851</c:v>
                </c:pt>
                <c:pt idx="5">
                  <c:v>-1.7858586792872728</c:v>
                </c:pt>
                <c:pt idx="6">
                  <c:v>-2.7834227295470968</c:v>
                </c:pt>
                <c:pt idx="7">
                  <c:v>-2.853179203291222</c:v>
                </c:pt>
                <c:pt idx="8">
                  <c:v>-2.9229356770353472</c:v>
                </c:pt>
                <c:pt idx="9">
                  <c:v>-2.9926921507794724</c:v>
                </c:pt>
              </c:numCache>
            </c:numRef>
          </c:xVal>
          <c:yVal>
            <c:numRef>
              <c:f>Plan1!$E$25:$E$34</c:f>
              <c:numCache>
                <c:formatCode>General</c:formatCode>
                <c:ptCount val="10"/>
                <c:pt idx="0">
                  <c:v>0.20926942123237569</c:v>
                </c:pt>
                <c:pt idx="1">
                  <c:v>1.1370769977480746</c:v>
                </c:pt>
                <c:pt idx="2">
                  <c:v>2.0648845742637736</c:v>
                </c:pt>
                <c:pt idx="3">
                  <c:v>2.9926921507794724</c:v>
                </c:pt>
                <c:pt idx="4">
                  <c:v>3.0624486245235976</c:v>
                </c:pt>
                <c:pt idx="5">
                  <c:v>3.1322050982677228</c:v>
                </c:pt>
                <c:pt idx="6">
                  <c:v>3.2019615720118479</c:v>
                </c:pt>
                <c:pt idx="7">
                  <c:v>2.204397521752024</c:v>
                </c:pt>
                <c:pt idx="8">
                  <c:v>1.2068334714922</c:v>
                </c:pt>
                <c:pt idx="9">
                  <c:v>0.20926942123237569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246080"/>
        <c:axId val="239246656"/>
      </c:scatterChart>
      <c:valAx>
        <c:axId val="23924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246656"/>
        <c:crosses val="autoZero"/>
        <c:crossBetween val="midCat"/>
      </c:valAx>
      <c:valAx>
        <c:axId val="23924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246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Plan1!$H$24</c:f>
              <c:strCache>
                <c:ptCount val="1"/>
                <c:pt idx="0">
                  <c:v>y'</c:v>
                </c:pt>
              </c:strCache>
            </c:strRef>
          </c:tx>
          <c:xVal>
            <c:numRef>
              <c:f>Plan1!$G$25:$G$34</c:f>
              <c:numCache>
                <c:formatCode>General</c:formatCode>
                <c:ptCount val="10"/>
                <c:pt idx="0">
                  <c:v>-0.99269215077947237</c:v>
                </c:pt>
                <c:pt idx="1">
                  <c:v>7.4628373224476796E-2</c:v>
                </c:pt>
                <c:pt idx="2">
                  <c:v>1.1419488972284264</c:v>
                </c:pt>
                <c:pt idx="3">
                  <c:v>2.2092694212323756</c:v>
                </c:pt>
                <c:pt idx="4">
                  <c:v>1.2117053709725516</c:v>
                </c:pt>
                <c:pt idx="5">
                  <c:v>0.21414132071272718</c:v>
                </c:pt>
                <c:pt idx="6">
                  <c:v>-0.7834227295470968</c:v>
                </c:pt>
                <c:pt idx="7">
                  <c:v>-0.85317920329122199</c:v>
                </c:pt>
                <c:pt idx="8">
                  <c:v>-0.92293567703534718</c:v>
                </c:pt>
                <c:pt idx="9">
                  <c:v>-0.99269215077947237</c:v>
                </c:pt>
              </c:numCache>
            </c:numRef>
          </c:xVal>
          <c:yVal>
            <c:numRef>
              <c:f>Plan1!$H$25:$H$34</c:f>
              <c:numCache>
                <c:formatCode>General</c:formatCode>
                <c:ptCount val="10"/>
                <c:pt idx="0">
                  <c:v>2.2092694212323756</c:v>
                </c:pt>
                <c:pt idx="1">
                  <c:v>3.1370769977480748</c:v>
                </c:pt>
                <c:pt idx="2">
                  <c:v>4.0648845742637736</c:v>
                </c:pt>
                <c:pt idx="3">
                  <c:v>4.9926921507794724</c:v>
                </c:pt>
                <c:pt idx="4">
                  <c:v>5.0624486245235971</c:v>
                </c:pt>
                <c:pt idx="5">
                  <c:v>5.1322050982677228</c:v>
                </c:pt>
                <c:pt idx="6">
                  <c:v>5.2019615720118484</c:v>
                </c:pt>
                <c:pt idx="7">
                  <c:v>4.204397521752024</c:v>
                </c:pt>
                <c:pt idx="8">
                  <c:v>3.2068334714922</c:v>
                </c:pt>
                <c:pt idx="9">
                  <c:v>2.2092694212323756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33824"/>
        <c:axId val="239134400"/>
      </c:scatterChart>
      <c:valAx>
        <c:axId val="23913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134400"/>
        <c:crosses val="autoZero"/>
        <c:crossBetween val="midCat"/>
      </c:valAx>
      <c:valAx>
        <c:axId val="23913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133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Spin" dx="16" fmlaLink="$A$19" max="30000" page="10" val="90"/>
</file>

<file path=xl/ctrlProps/ctrlProp2.xml><?xml version="1.0" encoding="utf-8"?>
<formControlPr xmlns="http://schemas.microsoft.com/office/spreadsheetml/2009/9/main" objectType="Spin" dx="16" fmlaLink="$A$7" max="30000" page="10" val="16"/>
</file>

<file path=xl/ctrlProps/ctrlProp3.xml><?xml version="1.0" encoding="utf-8"?>
<formControlPr xmlns="http://schemas.microsoft.com/office/spreadsheetml/2009/9/main" objectType="Spin" dx="16" fmlaLink="$A$7" max="30000" page="10" val="8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500062</xdr:colOff>
      <xdr:row>23</xdr:row>
      <xdr:rowOff>61912</xdr:rowOff>
    </xdr:from>
    <xdr:to>
      <xdr:col>19</xdr:col>
      <xdr:colOff>195262</xdr:colOff>
      <xdr:row>37</xdr:row>
      <xdr:rowOff>138112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29</xdr:row>
          <xdr:rowOff>114300</xdr:rowOff>
        </xdr:from>
        <xdr:to>
          <xdr:col>11</xdr:col>
          <xdr:colOff>171450</xdr:colOff>
          <xdr:row>32</xdr:row>
          <xdr:rowOff>180975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3</xdr:row>
          <xdr:rowOff>0</xdr:rowOff>
        </xdr:from>
        <xdr:to>
          <xdr:col>8</xdr:col>
          <xdr:colOff>581025</xdr:colOff>
          <xdr:row>10</xdr:row>
          <xdr:rowOff>133350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16</xdr:col>
      <xdr:colOff>299357</xdr:colOff>
      <xdr:row>27</xdr:row>
      <xdr:rowOff>91167</xdr:rowOff>
    </xdr:from>
    <xdr:to>
      <xdr:col>23</xdr:col>
      <xdr:colOff>585107</xdr:colOff>
      <xdr:row>41</xdr:row>
      <xdr:rowOff>167367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557893</xdr:colOff>
      <xdr:row>44</xdr:row>
      <xdr:rowOff>63953</xdr:rowOff>
    </xdr:from>
    <xdr:to>
      <xdr:col>19</xdr:col>
      <xdr:colOff>231322</xdr:colOff>
      <xdr:row>58</xdr:row>
      <xdr:rowOff>140153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43</xdr:row>
      <xdr:rowOff>91167</xdr:rowOff>
    </xdr:from>
    <xdr:to>
      <xdr:col>28</xdr:col>
      <xdr:colOff>54429</xdr:colOff>
      <xdr:row>57</xdr:row>
      <xdr:rowOff>167367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292555</xdr:colOff>
      <xdr:row>0</xdr:row>
      <xdr:rowOff>163966</xdr:rowOff>
    </xdr:from>
    <xdr:to>
      <xdr:col>24</xdr:col>
      <xdr:colOff>600076</xdr:colOff>
      <xdr:row>15</xdr:row>
      <xdr:rowOff>49666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166006</xdr:colOff>
      <xdr:row>15</xdr:row>
      <xdr:rowOff>123144</xdr:rowOff>
    </xdr:from>
    <xdr:to>
      <xdr:col>20</xdr:col>
      <xdr:colOff>473527</xdr:colOff>
      <xdr:row>33</xdr:row>
      <xdr:rowOff>8844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557893</xdr:colOff>
      <xdr:row>15</xdr:row>
      <xdr:rowOff>91167</xdr:rowOff>
    </xdr:from>
    <xdr:to>
      <xdr:col>28</xdr:col>
      <xdr:colOff>231322</xdr:colOff>
      <xdr:row>32</xdr:row>
      <xdr:rowOff>167367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3</xdr:row>
          <xdr:rowOff>66675</xdr:rowOff>
        </xdr:from>
        <xdr:to>
          <xdr:col>9</xdr:col>
          <xdr:colOff>9525</xdr:colOff>
          <xdr:row>11</xdr:row>
          <xdr:rowOff>9525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L38"/>
  <sheetViews>
    <sheetView tabSelected="1" topLeftCell="A13" zoomScaleNormal="100" workbookViewId="0">
      <selection activeCell="P20" sqref="P20"/>
    </sheetView>
  </sheetViews>
  <sheetFormatPr defaultRowHeight="15" x14ac:dyDescent="0.25"/>
  <cols>
    <col min="1" max="16384" width="9.140625" style="4"/>
  </cols>
  <sheetData>
    <row r="1" spans="1:12" x14ac:dyDescent="0.25">
      <c r="A1" s="4">
        <v>1</v>
      </c>
      <c r="B1" s="4">
        <v>1</v>
      </c>
      <c r="C1" s="4">
        <v>1</v>
      </c>
      <c r="D1" s="4">
        <v>1</v>
      </c>
    </row>
    <row r="2" spans="1:12" x14ac:dyDescent="0.25">
      <c r="A2" s="4">
        <v>0</v>
      </c>
      <c r="B2" s="4">
        <v>1</v>
      </c>
      <c r="C2" s="4">
        <v>3</v>
      </c>
      <c r="D2" s="4">
        <v>1</v>
      </c>
    </row>
    <row r="3" spans="1:12" x14ac:dyDescent="0.25">
      <c r="A3" s="4">
        <v>0</v>
      </c>
      <c r="B3" s="4">
        <v>0</v>
      </c>
      <c r="C3" s="4">
        <v>1</v>
      </c>
      <c r="D3" s="4">
        <v>1</v>
      </c>
    </row>
    <row r="4" spans="1:12" x14ac:dyDescent="0.25">
      <c r="A4" s="4">
        <v>0</v>
      </c>
      <c r="B4" s="4">
        <v>0</v>
      </c>
      <c r="C4" s="4">
        <v>0</v>
      </c>
      <c r="D4" s="4">
        <v>1</v>
      </c>
    </row>
    <row r="6" spans="1:12" x14ac:dyDescent="0.25">
      <c r="A6" s="4" t="s">
        <v>12</v>
      </c>
    </row>
    <row r="7" spans="1:12" x14ac:dyDescent="0.25">
      <c r="A7" s="4" t="s">
        <v>0</v>
      </c>
      <c r="B7" s="3">
        <v>0</v>
      </c>
      <c r="C7" s="3">
        <v>1</v>
      </c>
      <c r="D7" s="3">
        <v>2</v>
      </c>
      <c r="E7" s="8">
        <v>3</v>
      </c>
      <c r="F7" s="3">
        <v>3</v>
      </c>
      <c r="G7" s="3">
        <v>3</v>
      </c>
      <c r="H7" s="3">
        <v>3</v>
      </c>
      <c r="I7" s="3">
        <v>2</v>
      </c>
      <c r="J7" s="3">
        <v>1</v>
      </c>
      <c r="L7" s="4">
        <f>SUM(B7:J7)/COUNT(B7:J7)</f>
        <v>2</v>
      </c>
    </row>
    <row r="8" spans="1:12" x14ac:dyDescent="0.25">
      <c r="A8" s="4" t="s">
        <v>1</v>
      </c>
      <c r="B8" s="3">
        <v>3</v>
      </c>
      <c r="C8" s="3">
        <v>2</v>
      </c>
      <c r="D8" s="3">
        <v>1</v>
      </c>
      <c r="E8" s="8">
        <v>0</v>
      </c>
      <c r="F8" s="3">
        <v>1</v>
      </c>
      <c r="G8" s="3">
        <v>2</v>
      </c>
      <c r="H8" s="3">
        <v>3</v>
      </c>
      <c r="I8" s="3">
        <v>3</v>
      </c>
      <c r="J8" s="3">
        <v>3</v>
      </c>
      <c r="L8" s="4">
        <f>SUM(B8:J8)/COUNT(B8:J8)</f>
        <v>2</v>
      </c>
    </row>
    <row r="10" spans="1:12" x14ac:dyDescent="0.25">
      <c r="A10" s="4" t="s">
        <v>10</v>
      </c>
    </row>
    <row r="11" spans="1:12" x14ac:dyDescent="0.25">
      <c r="A11" s="4" t="s">
        <v>0</v>
      </c>
      <c r="B11" s="4" t="s">
        <v>1</v>
      </c>
    </row>
    <row r="12" spans="1:12" x14ac:dyDescent="0.25">
      <c r="A12" s="3">
        <f>SUM(B7:J7)/COUNT(B7:J7)</f>
        <v>2</v>
      </c>
      <c r="B12" s="3">
        <f>SUM(B8:J8)/COUNT(B8:J8)</f>
        <v>2</v>
      </c>
    </row>
    <row r="14" spans="1:12" x14ac:dyDescent="0.25">
      <c r="A14" s="4" t="s">
        <v>11</v>
      </c>
    </row>
    <row r="15" spans="1:12" x14ac:dyDescent="0.25">
      <c r="A15" s="4" t="s">
        <v>0</v>
      </c>
      <c r="B15" s="3">
        <f t="shared" ref="B15:J15" si="0">IF(SIGN($A$12-B7)&gt;0,-SQRT(SUMXMY2($A$12,B7)),SQRT(SUMXMY2($A$12,B7)))</f>
        <v>-2</v>
      </c>
      <c r="C15" s="3">
        <f t="shared" si="0"/>
        <v>-1</v>
      </c>
      <c r="D15" s="3">
        <f t="shared" si="0"/>
        <v>0</v>
      </c>
      <c r="E15" s="3">
        <f>IF(SIGN($A$12-E7)&gt;0,-SQRT(SUMXMY2($A$12,E7)),SQRT(SUMXMY2($A$12,E7)))</f>
        <v>1</v>
      </c>
      <c r="F15" s="3">
        <f t="shared" si="0"/>
        <v>1</v>
      </c>
      <c r="G15" s="3">
        <f t="shared" si="0"/>
        <v>1</v>
      </c>
      <c r="H15" s="3">
        <f t="shared" si="0"/>
        <v>1</v>
      </c>
      <c r="I15" s="3">
        <f t="shared" si="0"/>
        <v>0</v>
      </c>
      <c r="J15" s="3">
        <f t="shared" si="0"/>
        <v>-1</v>
      </c>
      <c r="K15" s="4">
        <f>B15</f>
        <v>-2</v>
      </c>
    </row>
    <row r="16" spans="1:12" x14ac:dyDescent="0.25">
      <c r="A16" s="4" t="s">
        <v>1</v>
      </c>
      <c r="B16" s="3">
        <f t="shared" ref="B16:J16" si="1">IF(SIGN($B$12-B8)&gt;0,-SQRT(SUMXMY2(B8,$B$12)),SQRT(SUMXMY2(B8,$B$12)))</f>
        <v>1</v>
      </c>
      <c r="C16" s="3">
        <f t="shared" si="1"/>
        <v>0</v>
      </c>
      <c r="D16" s="3">
        <f t="shared" si="1"/>
        <v>-1</v>
      </c>
      <c r="E16" s="3">
        <f t="shared" si="1"/>
        <v>-2</v>
      </c>
      <c r="F16" s="3">
        <f t="shared" si="1"/>
        <v>-1</v>
      </c>
      <c r="G16" s="3">
        <f t="shared" si="1"/>
        <v>0</v>
      </c>
      <c r="H16" s="3">
        <f t="shared" si="1"/>
        <v>1</v>
      </c>
      <c r="I16" s="3">
        <f t="shared" si="1"/>
        <v>1</v>
      </c>
      <c r="J16" s="3">
        <f t="shared" si="1"/>
        <v>1</v>
      </c>
      <c r="K16" s="4">
        <f>B16</f>
        <v>1</v>
      </c>
    </row>
    <row r="18" spans="1:11" x14ac:dyDescent="0.25">
      <c r="A18" s="4" t="s">
        <v>8</v>
      </c>
      <c r="B18" s="4" t="s">
        <v>9</v>
      </c>
    </row>
    <row r="19" spans="1:11" x14ac:dyDescent="0.25">
      <c r="A19" s="3">
        <v>90</v>
      </c>
      <c r="B19" s="3">
        <f>RADIANS(A19)</f>
        <v>1.5707963267948966</v>
      </c>
    </row>
    <row r="21" spans="1:11" x14ac:dyDescent="0.25">
      <c r="A21" s="5" t="s">
        <v>13</v>
      </c>
      <c r="B21" s="5"/>
      <c r="C21" s="6"/>
    </row>
    <row r="22" spans="1:11" x14ac:dyDescent="0.25">
      <c r="A22" s="7" t="s">
        <v>0</v>
      </c>
      <c r="B22" s="2">
        <f t="shared" ref="B22:J22" si="2">B15*COS($B$19)-B16*SIN($B$19)</f>
        <v>-1.0000000000000002</v>
      </c>
      <c r="C22" s="2">
        <f t="shared" si="2"/>
        <v>-6.1257422745431001E-17</v>
      </c>
      <c r="D22" s="2">
        <f t="shared" si="2"/>
        <v>1</v>
      </c>
      <c r="E22" s="1">
        <f t="shared" si="2"/>
        <v>2</v>
      </c>
      <c r="F22" s="2">
        <f t="shared" si="2"/>
        <v>1</v>
      </c>
      <c r="G22" s="2">
        <f t="shared" si="2"/>
        <v>6.1257422745431001E-17</v>
      </c>
      <c r="H22" s="2">
        <f t="shared" si="2"/>
        <v>-0.99999999999999989</v>
      </c>
      <c r="I22" s="2">
        <f t="shared" si="2"/>
        <v>-1</v>
      </c>
      <c r="J22" s="2">
        <f t="shared" si="2"/>
        <v>-1</v>
      </c>
      <c r="K22" s="7">
        <f>B22</f>
        <v>-1.0000000000000002</v>
      </c>
    </row>
    <row r="23" spans="1:11" x14ac:dyDescent="0.25">
      <c r="A23" s="7" t="s">
        <v>1</v>
      </c>
      <c r="B23" s="2">
        <f t="shared" ref="B23:J23" si="3">B15*SIN($B$19)+B16*COS($B$19)</f>
        <v>-2</v>
      </c>
      <c r="C23" s="2">
        <f t="shared" si="3"/>
        <v>-1</v>
      </c>
      <c r="D23" s="2">
        <f t="shared" si="3"/>
        <v>-6.1257422745431001E-17</v>
      </c>
      <c r="E23" s="1">
        <f t="shared" si="3"/>
        <v>0.99999999999999989</v>
      </c>
      <c r="F23" s="2">
        <f t="shared" si="3"/>
        <v>0.99999999999999989</v>
      </c>
      <c r="G23" s="2">
        <f t="shared" si="3"/>
        <v>1</v>
      </c>
      <c r="H23" s="2">
        <f t="shared" si="3"/>
        <v>1</v>
      </c>
      <c r="I23" s="2">
        <f t="shared" si="3"/>
        <v>6.1257422745431001E-17</v>
      </c>
      <c r="J23" s="2">
        <f t="shared" si="3"/>
        <v>-0.99999999999999989</v>
      </c>
      <c r="K23" s="7">
        <f>B23</f>
        <v>-2</v>
      </c>
    </row>
    <row r="24" spans="1:11" x14ac:dyDescent="0.25">
      <c r="A24" s="5"/>
      <c r="B24" s="5"/>
      <c r="C24" s="6"/>
    </row>
    <row r="25" spans="1:11" x14ac:dyDescent="0.25">
      <c r="A25" s="5" t="s">
        <v>14</v>
      </c>
      <c r="B25" s="5"/>
      <c r="C25" s="6"/>
    </row>
    <row r="26" spans="1:11" x14ac:dyDescent="0.25">
      <c r="A26" s="5" t="s">
        <v>0</v>
      </c>
      <c r="B26" s="2">
        <f>B22+$A$12</f>
        <v>0.99999999999999978</v>
      </c>
      <c r="C26" s="2">
        <f t="shared" ref="C26:K26" si="4">C22+$A$12</f>
        <v>2</v>
      </c>
      <c r="D26" s="2">
        <f t="shared" si="4"/>
        <v>3</v>
      </c>
      <c r="E26" s="2">
        <f t="shared" si="4"/>
        <v>4</v>
      </c>
      <c r="F26" s="2">
        <f t="shared" si="4"/>
        <v>3</v>
      </c>
      <c r="G26" s="2">
        <f t="shared" si="4"/>
        <v>2</v>
      </c>
      <c r="H26" s="2">
        <f t="shared" si="4"/>
        <v>1</v>
      </c>
      <c r="I26" s="2">
        <f t="shared" si="4"/>
        <v>1</v>
      </c>
      <c r="J26" s="2">
        <f t="shared" si="4"/>
        <v>1</v>
      </c>
      <c r="K26" s="7">
        <f t="shared" si="4"/>
        <v>0.99999999999999978</v>
      </c>
    </row>
    <row r="27" spans="1:11" x14ac:dyDescent="0.25">
      <c r="A27" s="5" t="s">
        <v>1</v>
      </c>
      <c r="B27" s="2">
        <f>B23+$B$12</f>
        <v>0</v>
      </c>
      <c r="C27" s="2">
        <f t="shared" ref="C27:K27" si="5">C23+$B$12</f>
        <v>1</v>
      </c>
      <c r="D27" s="2">
        <f t="shared" si="5"/>
        <v>2</v>
      </c>
      <c r="E27" s="2">
        <f t="shared" si="5"/>
        <v>3</v>
      </c>
      <c r="F27" s="2">
        <f t="shared" si="5"/>
        <v>3</v>
      </c>
      <c r="G27" s="2">
        <f t="shared" si="5"/>
        <v>3</v>
      </c>
      <c r="H27" s="2">
        <f t="shared" si="5"/>
        <v>3</v>
      </c>
      <c r="I27" s="2">
        <f t="shared" si="5"/>
        <v>2</v>
      </c>
      <c r="J27" s="2">
        <f t="shared" si="5"/>
        <v>1</v>
      </c>
      <c r="K27" s="7">
        <f t="shared" si="5"/>
        <v>0</v>
      </c>
    </row>
    <row r="29" spans="1:11" x14ac:dyDescent="0.25">
      <c r="A29" s="4" t="str">
        <f t="array" ref="A29:B38">TRANSPOSE(A26:K27)</f>
        <v>x</v>
      </c>
      <c r="B29" s="4" t="str">
        <v>y</v>
      </c>
    </row>
    <row r="30" spans="1:11" x14ac:dyDescent="0.25">
      <c r="A30" s="4">
        <v>0.99999999999999978</v>
      </c>
      <c r="B30" s="4">
        <v>0</v>
      </c>
    </row>
    <row r="31" spans="1:11" x14ac:dyDescent="0.25">
      <c r="A31" s="4">
        <v>2</v>
      </c>
      <c r="B31" s="4">
        <v>1</v>
      </c>
    </row>
    <row r="32" spans="1:11" x14ac:dyDescent="0.25">
      <c r="A32" s="4">
        <v>3</v>
      </c>
      <c r="B32" s="4">
        <v>2</v>
      </c>
    </row>
    <row r="33" spans="1:2" x14ac:dyDescent="0.25">
      <c r="A33" s="4">
        <v>4</v>
      </c>
      <c r="B33" s="4">
        <v>3</v>
      </c>
    </row>
    <row r="34" spans="1:2" x14ac:dyDescent="0.25">
      <c r="A34" s="4">
        <v>3</v>
      </c>
      <c r="B34" s="4">
        <v>3</v>
      </c>
    </row>
    <row r="35" spans="1:2" x14ac:dyDescent="0.25">
      <c r="A35" s="4">
        <v>2</v>
      </c>
      <c r="B35" s="4">
        <v>3</v>
      </c>
    </row>
    <row r="36" spans="1:2" x14ac:dyDescent="0.25">
      <c r="A36" s="4">
        <v>1</v>
      </c>
      <c r="B36" s="4">
        <v>3</v>
      </c>
    </row>
    <row r="37" spans="1:2" x14ac:dyDescent="0.25">
      <c r="A37" s="4">
        <v>1</v>
      </c>
      <c r="B37" s="4">
        <v>2</v>
      </c>
    </row>
    <row r="38" spans="1:2" x14ac:dyDescent="0.25">
      <c r="A38" s="4">
        <v>1</v>
      </c>
      <c r="B38" s="4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Spinner 2">
              <controlPr defaultSize="0" autoPict="0">
                <anchor moveWithCells="1" sizeWithCells="1">
                  <from>
                    <xdr:col>10</xdr:col>
                    <xdr:colOff>200025</xdr:colOff>
                    <xdr:row>29</xdr:row>
                    <xdr:rowOff>114300</xdr:rowOff>
                  </from>
                  <to>
                    <xdr:col>11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M59"/>
  <sheetViews>
    <sheetView topLeftCell="A31" zoomScaleNormal="100" workbookViewId="0">
      <selection activeCell="A31" sqref="A31"/>
    </sheetView>
  </sheetViews>
  <sheetFormatPr defaultRowHeight="15" x14ac:dyDescent="0.25"/>
  <sheetData>
    <row r="1" spans="1:11" x14ac:dyDescent="0.25">
      <c r="A1">
        <v>1</v>
      </c>
      <c r="B1">
        <v>1</v>
      </c>
      <c r="C1">
        <v>1</v>
      </c>
      <c r="D1">
        <v>1</v>
      </c>
    </row>
    <row r="2" spans="1:11" x14ac:dyDescent="0.25">
      <c r="A2">
        <v>0</v>
      </c>
      <c r="B2">
        <v>1</v>
      </c>
      <c r="C2">
        <v>3</v>
      </c>
      <c r="D2">
        <v>1</v>
      </c>
    </row>
    <row r="3" spans="1:11" x14ac:dyDescent="0.25">
      <c r="A3">
        <v>0</v>
      </c>
      <c r="B3">
        <v>0</v>
      </c>
      <c r="C3">
        <v>1</v>
      </c>
      <c r="D3">
        <v>1</v>
      </c>
    </row>
    <row r="4" spans="1:11" x14ac:dyDescent="0.25">
      <c r="A4">
        <v>0</v>
      </c>
      <c r="B4">
        <v>0</v>
      </c>
      <c r="C4">
        <v>0</v>
      </c>
      <c r="D4">
        <v>1</v>
      </c>
    </row>
    <row r="6" spans="1:11" x14ac:dyDescent="0.25">
      <c r="A6" t="s">
        <v>2</v>
      </c>
      <c r="B6" t="s">
        <v>3</v>
      </c>
    </row>
    <row r="7" spans="1:11" x14ac:dyDescent="0.25">
      <c r="A7">
        <v>16</v>
      </c>
      <c r="B7">
        <f>RADIANS(A7)</f>
        <v>0.27925268031909273</v>
      </c>
    </row>
    <row r="9" spans="1:11" x14ac:dyDescent="0.25">
      <c r="A9">
        <f>COS(B7)</f>
        <v>0.96126169593831889</v>
      </c>
      <c r="B9">
        <f>-SIN(B7)</f>
        <v>-0.27563735581699916</v>
      </c>
    </row>
    <row r="10" spans="1:11" x14ac:dyDescent="0.25">
      <c r="A10">
        <f>SIN(B7)</f>
        <v>0.27563735581699916</v>
      </c>
      <c r="B10">
        <f>COS(B7)</f>
        <v>0.96126169593831889</v>
      </c>
    </row>
    <row r="12" spans="1:11" x14ac:dyDescent="0.25">
      <c r="A12" t="s">
        <v>0</v>
      </c>
      <c r="B12">
        <v>1</v>
      </c>
      <c r="C12">
        <v>1</v>
      </c>
      <c r="D12">
        <v>2</v>
      </c>
      <c r="E12">
        <v>3</v>
      </c>
      <c r="F12">
        <v>3</v>
      </c>
      <c r="G12">
        <v>3</v>
      </c>
      <c r="H12">
        <v>3</v>
      </c>
      <c r="I12">
        <v>2</v>
      </c>
      <c r="J12">
        <v>1</v>
      </c>
      <c r="K12">
        <v>0</v>
      </c>
    </row>
    <row r="13" spans="1:11" x14ac:dyDescent="0.25">
      <c r="A13" t="s">
        <v>1</v>
      </c>
      <c r="B13">
        <v>3</v>
      </c>
      <c r="C13">
        <v>2</v>
      </c>
      <c r="D13">
        <v>1</v>
      </c>
      <c r="E13">
        <v>0</v>
      </c>
      <c r="F13">
        <v>1</v>
      </c>
      <c r="G13">
        <v>2</v>
      </c>
      <c r="H13">
        <v>3</v>
      </c>
      <c r="I13">
        <v>3</v>
      </c>
      <c r="J13">
        <v>3</v>
      </c>
      <c r="K13">
        <v>3</v>
      </c>
    </row>
    <row r="15" spans="1:11" x14ac:dyDescent="0.25">
      <c r="A15">
        <v>1</v>
      </c>
      <c r="B15">
        <v>0</v>
      </c>
      <c r="C15">
        <f>-B12</f>
        <v>-1</v>
      </c>
      <c r="E15">
        <f>B12</f>
        <v>1</v>
      </c>
      <c r="G15">
        <f t="array" ref="G15:G17">MMULT(A15:C17,E15:E17)</f>
        <v>0</v>
      </c>
    </row>
    <row r="16" spans="1:11" x14ac:dyDescent="0.25">
      <c r="A16">
        <v>0</v>
      </c>
      <c r="B16">
        <v>1</v>
      </c>
      <c r="C16">
        <f>-B13</f>
        <v>-3</v>
      </c>
      <c r="E16">
        <f>B13</f>
        <v>3</v>
      </c>
      <c r="G16">
        <v>0</v>
      </c>
    </row>
    <row r="17" spans="1:7" x14ac:dyDescent="0.25">
      <c r="A17">
        <v>0</v>
      </c>
      <c r="B17">
        <v>0</v>
      </c>
      <c r="C17">
        <v>1</v>
      </c>
      <c r="E17">
        <v>1</v>
      </c>
      <c r="G17">
        <v>1</v>
      </c>
    </row>
    <row r="19" spans="1:7" x14ac:dyDescent="0.25">
      <c r="A19">
        <f>COS(B7)</f>
        <v>0.96126169593831889</v>
      </c>
      <c r="B19">
        <f>-SIN(B7)</f>
        <v>-0.27563735581699916</v>
      </c>
      <c r="D19">
        <f>B12</f>
        <v>1</v>
      </c>
      <c r="F19">
        <f t="array" ref="F19:F20">MMULT(A19:B20,D19:D20)</f>
        <v>0.13434962848732135</v>
      </c>
    </row>
    <row r="20" spans="1:7" x14ac:dyDescent="0.25">
      <c r="A20">
        <f>SIN(B7)</f>
        <v>0.27563735581699916</v>
      </c>
      <c r="B20">
        <f>COS(B7)</f>
        <v>0.96126169593831889</v>
      </c>
      <c r="D20">
        <f>B13</f>
        <v>3</v>
      </c>
      <c r="F20">
        <v>3.1594224436319558</v>
      </c>
    </row>
    <row r="22" spans="1:7" x14ac:dyDescent="0.25">
      <c r="A22">
        <v>1</v>
      </c>
      <c r="B22">
        <v>0</v>
      </c>
      <c r="C22">
        <v>2</v>
      </c>
      <c r="E22">
        <f>F19</f>
        <v>0.13434962848732135</v>
      </c>
      <c r="G22">
        <f t="array" ref="G22:G24">MMULT(A22:C24,E22:E24)</f>
        <v>2.1343496284873211</v>
      </c>
    </row>
    <row r="23" spans="1:7" x14ac:dyDescent="0.25">
      <c r="A23">
        <v>0</v>
      </c>
      <c r="B23">
        <v>1</v>
      </c>
      <c r="C23">
        <v>2</v>
      </c>
      <c r="E23">
        <f>F20</f>
        <v>3.1594224436319558</v>
      </c>
      <c r="G23">
        <v>5.1594224436319553</v>
      </c>
    </row>
    <row r="24" spans="1:7" x14ac:dyDescent="0.25">
      <c r="A24">
        <v>0</v>
      </c>
      <c r="B24">
        <v>0</v>
      </c>
      <c r="C24">
        <v>1</v>
      </c>
      <c r="E24">
        <v>1</v>
      </c>
      <c r="G24">
        <v>1</v>
      </c>
    </row>
    <row r="26" spans="1:7" x14ac:dyDescent="0.25">
      <c r="A26">
        <v>1</v>
      </c>
      <c r="B26">
        <v>1</v>
      </c>
      <c r="C26">
        <v>1</v>
      </c>
      <c r="D26">
        <v>1</v>
      </c>
    </row>
    <row r="27" spans="1:7" x14ac:dyDescent="0.25">
      <c r="A27">
        <v>0</v>
      </c>
      <c r="B27">
        <v>1</v>
      </c>
      <c r="C27">
        <v>3</v>
      </c>
      <c r="D27">
        <v>1</v>
      </c>
    </row>
    <row r="28" spans="1:7" x14ac:dyDescent="0.25">
      <c r="A28">
        <v>0</v>
      </c>
      <c r="B28">
        <v>0</v>
      </c>
      <c r="C28">
        <v>1</v>
      </c>
      <c r="D28">
        <v>1</v>
      </c>
    </row>
    <row r="29" spans="1:7" x14ac:dyDescent="0.25">
      <c r="A29">
        <v>0</v>
      </c>
      <c r="B29">
        <v>0</v>
      </c>
      <c r="C29">
        <v>0</v>
      </c>
      <c r="D29">
        <v>1</v>
      </c>
    </row>
    <row r="31" spans="1:7" x14ac:dyDescent="0.25">
      <c r="A31" t="s">
        <v>2</v>
      </c>
      <c r="B31" t="s">
        <v>3</v>
      </c>
    </row>
    <row r="32" spans="1:7" x14ac:dyDescent="0.25">
      <c r="A32">
        <v>86</v>
      </c>
      <c r="B32">
        <f>RADIANS(A32)</f>
        <v>1.5009831567151235</v>
      </c>
    </row>
    <row r="34" spans="1:13" x14ac:dyDescent="0.25">
      <c r="A34">
        <f>COS(B32)</f>
        <v>6.9756473744125233E-2</v>
      </c>
      <c r="B34">
        <f>-SIN(B32)</f>
        <v>-0.9975640502598242</v>
      </c>
    </row>
    <row r="35" spans="1:13" x14ac:dyDescent="0.25">
      <c r="A35">
        <f>SIN(B32)</f>
        <v>0.9975640502598242</v>
      </c>
      <c r="B35">
        <f>COS(B32)</f>
        <v>6.9756473744125233E-2</v>
      </c>
    </row>
    <row r="37" spans="1:13" x14ac:dyDescent="0.25">
      <c r="A37" t="s">
        <v>0</v>
      </c>
      <c r="B37">
        <v>-0.99299999999999999</v>
      </c>
      <c r="C37">
        <v>7.46E-2</v>
      </c>
      <c r="D37">
        <v>1.1418999999999999</v>
      </c>
      <c r="E37">
        <v>2.2092999999999998</v>
      </c>
      <c r="F37">
        <v>1.2117</v>
      </c>
      <c r="G37">
        <v>0.21410000000000001</v>
      </c>
      <c r="H37">
        <v>-0.78300000000000003</v>
      </c>
      <c r="I37">
        <v>-0.85299999999999998</v>
      </c>
      <c r="J37">
        <v>-0.92300000000000004</v>
      </c>
      <c r="K37">
        <f>B37</f>
        <v>-0.99299999999999999</v>
      </c>
      <c r="M37">
        <f>SUM(B37:J37)/COUNT(B37:J37)</f>
        <v>0.14439999999999997</v>
      </c>
    </row>
    <row r="38" spans="1:13" x14ac:dyDescent="0.25">
      <c r="A38" t="s">
        <v>1</v>
      </c>
      <c r="B38">
        <v>2.2092999999999998</v>
      </c>
      <c r="C38">
        <v>3.1371000000000002</v>
      </c>
      <c r="D38">
        <v>4.0648999999999997</v>
      </c>
      <c r="E38">
        <v>4.9927000000000001</v>
      </c>
      <c r="F38">
        <v>5.0624000000000002</v>
      </c>
      <c r="G38">
        <v>5.1322000000000001</v>
      </c>
      <c r="H38">
        <v>5.202</v>
      </c>
      <c r="I38">
        <v>4.2043999999999997</v>
      </c>
      <c r="J38">
        <v>3.2067999999999999</v>
      </c>
      <c r="K38">
        <f>B38</f>
        <v>2.2092999999999998</v>
      </c>
      <c r="M38">
        <f>SUM(B38:J38)/COUNT(B38:J38)</f>
        <v>4.1346444444444446</v>
      </c>
    </row>
    <row r="40" spans="1:13" x14ac:dyDescent="0.25">
      <c r="A40" t="s">
        <v>4</v>
      </c>
      <c r="B40">
        <f t="array" ref="B40:B41">MMULT(Tranformada,B37:B38)</f>
        <v>-1.563498474273247</v>
      </c>
      <c r="C40">
        <f t="array" ref="C40:C41">MMULT(Tranformada,C37:C38)</f>
        <v>-0.79299182641650956</v>
      </c>
      <c r="D40">
        <f t="array" ref="D40:D41">MMULT(Tranformada,D37:D38)</f>
        <v>-2.2773557068553663E-2</v>
      </c>
      <c r="E40">
        <f t="array" ref="E40:E41">MMULT(Tranformada,E37:E38)</f>
        <v>0.74754083844899588</v>
      </c>
      <c r="F40">
        <f t="array" ref="F40:F41">MMULT(Tranformada,F37:F38)</f>
        <v>-0.2306257531195155</v>
      </c>
      <c r="G40">
        <f t="array" ref="G40:G41">MMULT(Tranformada,G37:G38)</f>
        <v>-1.2088199084236091</v>
      </c>
      <c r="H40">
        <f t="array" ref="H40:H41">MMULT(Tranformada,H37:H38)</f>
        <v>-2.1865334328797332</v>
      </c>
      <c r="I40">
        <f t="array" ref="I40:I41">MMULT(Tranformada,I37:I38)</f>
        <v>-1.9788459254323771</v>
      </c>
      <c r="J40">
        <f t="array" ref="J40:J41">MMULT(Tranformada,J37:J38)</f>
        <v>-1.7711584179850213</v>
      </c>
      <c r="K40">
        <f t="array" ref="K40:K41">MMULT(Tranformada,K37:K38)</f>
        <v>-1.563498474273247</v>
      </c>
    </row>
    <row r="41" spans="1:13" x14ac:dyDescent="0.25">
      <c r="A41" t="s">
        <v>5</v>
      </c>
      <c r="B41">
        <v>1.8500075705102477</v>
      </c>
      <c r="C41">
        <v>3.0361366130720486</v>
      </c>
      <c r="D41">
        <v>4.2221829644271036</v>
      </c>
      <c r="E41">
        <v>5.408256879517741</v>
      </c>
      <c r="F41">
        <v>5.200280993561603</v>
      </c>
      <c r="G41">
        <v>4.9924012337750598</v>
      </c>
      <c r="H41">
        <v>4.7846592926664249</v>
      </c>
      <c r="I41">
        <v>3.806410009891168</v>
      </c>
      <c r="J41">
        <v>2.8281607271159106</v>
      </c>
      <c r="K41">
        <v>1.8500075705102477</v>
      </c>
    </row>
    <row r="43" spans="1:13" x14ac:dyDescent="0.25">
      <c r="A43" t="s">
        <v>6</v>
      </c>
      <c r="B43" t="s">
        <v>7</v>
      </c>
    </row>
    <row r="44" spans="1:13" x14ac:dyDescent="0.25">
      <c r="A44">
        <v>2</v>
      </c>
      <c r="B44">
        <v>2</v>
      </c>
    </row>
    <row r="46" spans="1:13" x14ac:dyDescent="0.25">
      <c r="A46" t="s">
        <v>4</v>
      </c>
      <c r="B46">
        <f>B40+$A$44</f>
        <v>0.43650152572675305</v>
      </c>
      <c r="C46">
        <f t="shared" ref="C46:K46" si="0">C40+$A$44</f>
        <v>1.2070081735834903</v>
      </c>
      <c r="D46">
        <f t="shared" si="0"/>
        <v>1.9772264429314463</v>
      </c>
      <c r="E46">
        <f t="shared" si="0"/>
        <v>2.7475408384489959</v>
      </c>
      <c r="F46">
        <f t="shared" si="0"/>
        <v>1.7693742468804845</v>
      </c>
      <c r="G46">
        <f t="shared" si="0"/>
        <v>0.79118009157639091</v>
      </c>
      <c r="H46">
        <f t="shared" si="0"/>
        <v>-0.18653343287973323</v>
      </c>
      <c r="I46">
        <f t="shared" si="0"/>
        <v>2.115407456762286E-2</v>
      </c>
      <c r="J46">
        <f t="shared" si="0"/>
        <v>0.22884158201497873</v>
      </c>
      <c r="K46">
        <f t="shared" si="0"/>
        <v>0.43650152572675305</v>
      </c>
    </row>
    <row r="47" spans="1:13" x14ac:dyDescent="0.25">
      <c r="A47" t="s">
        <v>5</v>
      </c>
      <c r="B47">
        <f>B41+$B$44</f>
        <v>3.8500075705102477</v>
      </c>
      <c r="C47">
        <f t="shared" ref="C47:K47" si="1">C41+$B$44</f>
        <v>5.0361366130720491</v>
      </c>
      <c r="D47">
        <f t="shared" si="1"/>
        <v>6.2221829644271036</v>
      </c>
      <c r="E47">
        <f t="shared" si="1"/>
        <v>7.408256879517741</v>
      </c>
      <c r="F47">
        <f t="shared" si="1"/>
        <v>7.200280993561603</v>
      </c>
      <c r="G47">
        <f t="shared" si="1"/>
        <v>6.9924012337750598</v>
      </c>
      <c r="H47">
        <f t="shared" si="1"/>
        <v>6.7846592926664249</v>
      </c>
      <c r="I47">
        <f t="shared" si="1"/>
        <v>5.8064100098911684</v>
      </c>
      <c r="J47">
        <f t="shared" si="1"/>
        <v>4.828160727115911</v>
      </c>
      <c r="K47">
        <f t="shared" si="1"/>
        <v>3.8500075705102477</v>
      </c>
    </row>
    <row r="49" spans="1:8" x14ac:dyDescent="0.25">
      <c r="A49" t="s">
        <v>0</v>
      </c>
      <c r="B49" t="s">
        <v>1</v>
      </c>
      <c r="D49" t="s">
        <v>4</v>
      </c>
      <c r="E49" t="s">
        <v>5</v>
      </c>
      <c r="G49" t="s">
        <v>4</v>
      </c>
      <c r="H49" t="s">
        <v>5</v>
      </c>
    </row>
    <row r="50" spans="1:8" x14ac:dyDescent="0.25">
      <c r="A50">
        <f t="array" ref="A50:B59">TRANSPOSE(B37:K38)</f>
        <v>-0.99299999999999999</v>
      </c>
      <c r="B50">
        <v>2.2092999999999998</v>
      </c>
      <c r="D50">
        <f t="array" ref="D50:E59">TRANSPOSE(B40:K41)</f>
        <v>-1.563498474273247</v>
      </c>
      <c r="E50">
        <v>1.8500075705102477</v>
      </c>
      <c r="G50">
        <f t="array" ref="G50:H59">TRANSPOSE(B46:K47)</f>
        <v>0.43650152572675305</v>
      </c>
      <c r="H50">
        <v>3.8500075705102477</v>
      </c>
    </row>
    <row r="51" spans="1:8" x14ac:dyDescent="0.25">
      <c r="A51">
        <v>7.46E-2</v>
      </c>
      <c r="B51">
        <v>3.1371000000000002</v>
      </c>
      <c r="D51">
        <v>-0.79299182641650956</v>
      </c>
      <c r="E51">
        <v>3.0361366130720486</v>
      </c>
      <c r="G51">
        <v>1.2070081735834903</v>
      </c>
      <c r="H51">
        <v>5.0361366130720491</v>
      </c>
    </row>
    <row r="52" spans="1:8" x14ac:dyDescent="0.25">
      <c r="A52">
        <v>1.1418999999999999</v>
      </c>
      <c r="B52">
        <v>4.0648999999999997</v>
      </c>
      <c r="D52">
        <v>-2.2773557068553663E-2</v>
      </c>
      <c r="E52">
        <v>4.2221829644271036</v>
      </c>
      <c r="G52">
        <v>1.9772264429314463</v>
      </c>
      <c r="H52">
        <v>6.2221829644271036</v>
      </c>
    </row>
    <row r="53" spans="1:8" x14ac:dyDescent="0.25">
      <c r="A53">
        <v>2.2092999999999998</v>
      </c>
      <c r="B53">
        <v>4.9927000000000001</v>
      </c>
      <c r="D53">
        <v>0.74754083844899588</v>
      </c>
      <c r="E53">
        <v>5.408256879517741</v>
      </c>
      <c r="G53">
        <v>2.7475408384489959</v>
      </c>
      <c r="H53">
        <v>7.408256879517741</v>
      </c>
    </row>
    <row r="54" spans="1:8" x14ac:dyDescent="0.25">
      <c r="A54">
        <v>1.2117</v>
      </c>
      <c r="B54">
        <v>5.0624000000000002</v>
      </c>
      <c r="D54">
        <v>-0.2306257531195155</v>
      </c>
      <c r="E54">
        <v>5.200280993561603</v>
      </c>
      <c r="G54">
        <v>1.7693742468804845</v>
      </c>
      <c r="H54">
        <v>7.200280993561603</v>
      </c>
    </row>
    <row r="55" spans="1:8" x14ac:dyDescent="0.25">
      <c r="A55">
        <v>0.21410000000000001</v>
      </c>
      <c r="B55">
        <v>5.1322000000000001</v>
      </c>
      <c r="D55">
        <v>-1.2088199084236091</v>
      </c>
      <c r="E55">
        <v>4.9924012337750598</v>
      </c>
      <c r="G55">
        <v>0.79118009157639091</v>
      </c>
      <c r="H55">
        <v>6.9924012337750598</v>
      </c>
    </row>
    <row r="56" spans="1:8" x14ac:dyDescent="0.25">
      <c r="A56">
        <v>-0.78300000000000003</v>
      </c>
      <c r="B56">
        <v>5.202</v>
      </c>
      <c r="D56">
        <v>-2.1865334328797332</v>
      </c>
      <c r="E56">
        <v>4.7846592926664249</v>
      </c>
      <c r="G56">
        <v>-0.18653343287973323</v>
      </c>
      <c r="H56">
        <v>6.7846592926664249</v>
      </c>
    </row>
    <row r="57" spans="1:8" x14ac:dyDescent="0.25">
      <c r="A57">
        <v>-0.85299999999999998</v>
      </c>
      <c r="B57">
        <v>4.2043999999999997</v>
      </c>
      <c r="D57">
        <v>-1.9788459254323771</v>
      </c>
      <c r="E57">
        <v>3.806410009891168</v>
      </c>
      <c r="G57">
        <v>2.115407456762286E-2</v>
      </c>
      <c r="H57">
        <v>5.8064100098911684</v>
      </c>
    </row>
    <row r="58" spans="1:8" x14ac:dyDescent="0.25">
      <c r="A58">
        <v>-0.92300000000000004</v>
      </c>
      <c r="B58">
        <v>3.2067999999999999</v>
      </c>
      <c r="D58">
        <v>-1.7711584179850213</v>
      </c>
      <c r="E58">
        <v>2.8281607271159106</v>
      </c>
      <c r="G58">
        <v>0.22884158201497873</v>
      </c>
      <c r="H58">
        <v>4.828160727115911</v>
      </c>
    </row>
    <row r="59" spans="1:8" x14ac:dyDescent="0.25">
      <c r="A59">
        <v>-0.99299999999999999</v>
      </c>
      <c r="B59">
        <v>2.2092999999999998</v>
      </c>
      <c r="D59">
        <v>-1.563498474273247</v>
      </c>
      <c r="E59">
        <v>1.8500075705102477</v>
      </c>
      <c r="G59">
        <v>0.43650152572675305</v>
      </c>
      <c r="H59">
        <v>3.8500075705102477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pinner 1">
              <controlPr defaultSize="0" autoPict="0">
                <anchor moveWithCells="1" sizeWithCells="1">
                  <from>
                    <xdr:col>5</xdr:col>
                    <xdr:colOff>314325</xdr:colOff>
                    <xdr:row>3</xdr:row>
                    <xdr:rowOff>0</xdr:rowOff>
                  </from>
                  <to>
                    <xdr:col>8</xdr:col>
                    <xdr:colOff>581025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M34"/>
  <sheetViews>
    <sheetView zoomScale="70" zoomScaleNormal="70" workbookViewId="0">
      <selection sqref="A1:AC35"/>
    </sheetView>
  </sheetViews>
  <sheetFormatPr defaultRowHeight="15" x14ac:dyDescent="0.25"/>
  <sheetData>
    <row r="1" spans="1:13" x14ac:dyDescent="0.25">
      <c r="A1">
        <v>1</v>
      </c>
      <c r="B1">
        <v>1</v>
      </c>
      <c r="C1">
        <v>1</v>
      </c>
      <c r="D1">
        <v>1</v>
      </c>
    </row>
    <row r="2" spans="1:13" x14ac:dyDescent="0.25">
      <c r="A2">
        <v>0</v>
      </c>
      <c r="B2">
        <v>1</v>
      </c>
      <c r="C2">
        <v>3</v>
      </c>
      <c r="D2">
        <v>1</v>
      </c>
    </row>
    <row r="3" spans="1:13" x14ac:dyDescent="0.25">
      <c r="A3">
        <v>0</v>
      </c>
      <c r="B3">
        <v>0</v>
      </c>
      <c r="C3">
        <v>1</v>
      </c>
      <c r="D3">
        <v>1</v>
      </c>
    </row>
    <row r="4" spans="1:13" x14ac:dyDescent="0.25">
      <c r="A4">
        <v>0</v>
      </c>
      <c r="B4">
        <v>0</v>
      </c>
      <c r="C4">
        <v>0</v>
      </c>
      <c r="D4">
        <v>1</v>
      </c>
    </row>
    <row r="6" spans="1:13" x14ac:dyDescent="0.25">
      <c r="A6" t="s">
        <v>2</v>
      </c>
      <c r="B6" t="s">
        <v>3</v>
      </c>
    </row>
    <row r="7" spans="1:13" x14ac:dyDescent="0.25">
      <c r="A7">
        <v>86</v>
      </c>
      <c r="B7">
        <f>RADIANS(A7)</f>
        <v>1.5009831567151235</v>
      </c>
    </row>
    <row r="9" spans="1:13" x14ac:dyDescent="0.25">
      <c r="A9">
        <f>COS(B7)</f>
        <v>6.9756473744125233E-2</v>
      </c>
      <c r="B9">
        <f>-SIN(B7)</f>
        <v>-0.9975640502598242</v>
      </c>
    </row>
    <row r="10" spans="1:13" x14ac:dyDescent="0.25">
      <c r="A10">
        <f>SIN(B7)</f>
        <v>0.9975640502598242</v>
      </c>
      <c r="B10">
        <f>COS(B7)</f>
        <v>6.9756473744125233E-2</v>
      </c>
    </row>
    <row r="12" spans="1:13" x14ac:dyDescent="0.25">
      <c r="A12" t="s">
        <v>0</v>
      </c>
      <c r="B12">
        <v>0</v>
      </c>
      <c r="C12">
        <v>1</v>
      </c>
      <c r="D12">
        <v>2</v>
      </c>
      <c r="E12">
        <v>3</v>
      </c>
      <c r="F12">
        <v>3</v>
      </c>
      <c r="G12">
        <v>3</v>
      </c>
      <c r="H12">
        <v>3</v>
      </c>
      <c r="I12">
        <v>2</v>
      </c>
      <c r="J12">
        <v>1</v>
      </c>
      <c r="K12">
        <v>0</v>
      </c>
      <c r="M12">
        <f>SUM(B12:J12)/COUNT(B12:J12)</f>
        <v>2</v>
      </c>
    </row>
    <row r="13" spans="1:13" x14ac:dyDescent="0.25">
      <c r="A13" t="s">
        <v>1</v>
      </c>
      <c r="B13">
        <v>3</v>
      </c>
      <c r="C13">
        <v>2</v>
      </c>
      <c r="D13">
        <v>1</v>
      </c>
      <c r="E13">
        <v>0</v>
      </c>
      <c r="F13">
        <v>1</v>
      </c>
      <c r="G13">
        <v>2</v>
      </c>
      <c r="H13">
        <v>3</v>
      </c>
      <c r="I13">
        <v>3</v>
      </c>
      <c r="J13">
        <v>3</v>
      </c>
      <c r="K13">
        <v>3</v>
      </c>
      <c r="M13">
        <f>SUM(B13:J13)/COUNT(B13:J13)</f>
        <v>2</v>
      </c>
    </row>
    <row r="15" spans="1:13" x14ac:dyDescent="0.25">
      <c r="A15" t="s">
        <v>4</v>
      </c>
      <c r="B15">
        <f t="array" ref="B15:B16">MMULT(Tranformada,B12:B13)</f>
        <v>-2.9926921507794724</v>
      </c>
      <c r="C15">
        <f t="array" ref="C15:C16">MMULT(Tranformada,C12:C13)</f>
        <v>-1.9253716267755232</v>
      </c>
      <c r="D15">
        <f t="array" ref="D15:D16">MMULT(Tranformada,D12:D13)</f>
        <v>-0.8580511027715737</v>
      </c>
      <c r="E15">
        <f t="array" ref="E15:E16">MMULT(Tranformada,E12:E13)</f>
        <v>0.20926942123237569</v>
      </c>
      <c r="F15">
        <f t="array" ref="F15:F16">MMULT(Tranformada,F12:F13)</f>
        <v>-0.78829462902744851</v>
      </c>
      <c r="G15">
        <f t="array" ref="G15:G16">MMULT(Tranformada,G12:G13)</f>
        <v>-1.7858586792872728</v>
      </c>
      <c r="H15">
        <f t="array" ref="H15:H16">MMULT(Tranformada,H12:H13)</f>
        <v>-2.7834227295470968</v>
      </c>
      <c r="I15">
        <f t="array" ref="I15:I16">MMULT(Tranformada,I12:I13)</f>
        <v>-2.853179203291222</v>
      </c>
      <c r="J15">
        <f t="array" ref="J15:J16">MMULT(Tranformada,J12:J13)</f>
        <v>-2.9229356770353472</v>
      </c>
      <c r="K15">
        <f t="array" ref="K15:K16">MMULT(Tranformada,K12:K13)</f>
        <v>-2.9926921507794724</v>
      </c>
    </row>
    <row r="16" spans="1:13" x14ac:dyDescent="0.25">
      <c r="A16" t="s">
        <v>5</v>
      </c>
      <c r="B16">
        <v>0.20926942123237569</v>
      </c>
      <c r="C16">
        <v>1.1370769977480746</v>
      </c>
      <c r="D16">
        <v>2.0648845742637736</v>
      </c>
      <c r="E16">
        <v>2.9926921507794724</v>
      </c>
      <c r="F16">
        <v>3.0624486245235976</v>
      </c>
      <c r="G16">
        <v>3.1322050982677228</v>
      </c>
      <c r="H16">
        <v>3.2019615720118479</v>
      </c>
      <c r="I16">
        <v>2.204397521752024</v>
      </c>
      <c r="J16">
        <v>1.2068334714922</v>
      </c>
      <c r="K16">
        <v>0.20926942123237569</v>
      </c>
    </row>
    <row r="18" spans="1:11" x14ac:dyDescent="0.25">
      <c r="A18" t="s">
        <v>6</v>
      </c>
      <c r="B18" t="s">
        <v>7</v>
      </c>
    </row>
    <row r="19" spans="1:11" x14ac:dyDescent="0.25">
      <c r="A19">
        <v>2</v>
      </c>
      <c r="B19">
        <v>2</v>
      </c>
    </row>
    <row r="21" spans="1:11" x14ac:dyDescent="0.25">
      <c r="A21" t="s">
        <v>4</v>
      </c>
      <c r="B21">
        <f>B15+$A$19</f>
        <v>-0.99269215077947237</v>
      </c>
      <c r="C21">
        <f t="shared" ref="C21:K21" si="0">C15+$A$19</f>
        <v>7.4628373224476796E-2</v>
      </c>
      <c r="D21">
        <f t="shared" si="0"/>
        <v>1.1419488972284264</v>
      </c>
      <c r="E21">
        <f t="shared" si="0"/>
        <v>2.2092694212323756</v>
      </c>
      <c r="F21">
        <f t="shared" si="0"/>
        <v>1.2117053709725516</v>
      </c>
      <c r="G21">
        <f t="shared" si="0"/>
        <v>0.21414132071272718</v>
      </c>
      <c r="H21">
        <f t="shared" si="0"/>
        <v>-0.7834227295470968</v>
      </c>
      <c r="I21">
        <f t="shared" si="0"/>
        <v>-0.85317920329122199</v>
      </c>
      <c r="J21">
        <f t="shared" si="0"/>
        <v>-0.92293567703534718</v>
      </c>
      <c r="K21">
        <f t="shared" si="0"/>
        <v>-0.99269215077947237</v>
      </c>
    </row>
    <row r="22" spans="1:11" x14ac:dyDescent="0.25">
      <c r="A22" t="s">
        <v>5</v>
      </c>
      <c r="B22">
        <f>B16+$B$19</f>
        <v>2.2092694212323756</v>
      </c>
      <c r="C22">
        <f t="shared" ref="C22:K22" si="1">C16+$B$19</f>
        <v>3.1370769977480748</v>
      </c>
      <c r="D22">
        <f t="shared" si="1"/>
        <v>4.0648845742637736</v>
      </c>
      <c r="E22">
        <f t="shared" si="1"/>
        <v>4.9926921507794724</v>
      </c>
      <c r="F22">
        <f t="shared" si="1"/>
        <v>5.0624486245235971</v>
      </c>
      <c r="G22">
        <f t="shared" si="1"/>
        <v>5.1322050982677228</v>
      </c>
      <c r="H22">
        <f t="shared" si="1"/>
        <v>5.2019615720118484</v>
      </c>
      <c r="I22">
        <f t="shared" si="1"/>
        <v>4.204397521752024</v>
      </c>
      <c r="J22">
        <f t="shared" si="1"/>
        <v>3.2068334714922</v>
      </c>
      <c r="K22">
        <f t="shared" si="1"/>
        <v>2.2092694212323756</v>
      </c>
    </row>
    <row r="24" spans="1:11" x14ac:dyDescent="0.25">
      <c r="A24" t="s">
        <v>0</v>
      </c>
      <c r="B24" t="s">
        <v>1</v>
      </c>
      <c r="D24" t="s">
        <v>4</v>
      </c>
      <c r="E24" t="s">
        <v>5</v>
      </c>
      <c r="G24" t="s">
        <v>4</v>
      </c>
      <c r="H24" t="s">
        <v>5</v>
      </c>
    </row>
    <row r="25" spans="1:11" x14ac:dyDescent="0.25">
      <c r="A25">
        <f t="array" ref="A25:B34">TRANSPOSE(B12:K13)</f>
        <v>0</v>
      </c>
      <c r="B25">
        <v>3</v>
      </c>
      <c r="D25">
        <f t="array" ref="D25:E34">TRANSPOSE(B15:K16)</f>
        <v>-2.9926921507794724</v>
      </c>
      <c r="E25">
        <v>0.20926942123237569</v>
      </c>
      <c r="G25">
        <f t="array" ref="G25:H34">TRANSPOSE(B21:K22)</f>
        <v>-0.99269215077947237</v>
      </c>
      <c r="H25">
        <v>2.2092694212323756</v>
      </c>
    </row>
    <row r="26" spans="1:11" x14ac:dyDescent="0.25">
      <c r="A26">
        <v>1</v>
      </c>
      <c r="B26">
        <v>2</v>
      </c>
      <c r="D26">
        <v>-1.9253716267755232</v>
      </c>
      <c r="E26">
        <v>1.1370769977480746</v>
      </c>
      <c r="G26">
        <v>7.4628373224476796E-2</v>
      </c>
      <c r="H26">
        <v>3.1370769977480748</v>
      </c>
    </row>
    <row r="27" spans="1:11" x14ac:dyDescent="0.25">
      <c r="A27">
        <v>2</v>
      </c>
      <c r="B27">
        <v>1</v>
      </c>
      <c r="D27">
        <v>-0.8580511027715737</v>
      </c>
      <c r="E27">
        <v>2.0648845742637736</v>
      </c>
      <c r="G27">
        <v>1.1419488972284264</v>
      </c>
      <c r="H27">
        <v>4.0648845742637736</v>
      </c>
    </row>
    <row r="28" spans="1:11" x14ac:dyDescent="0.25">
      <c r="A28">
        <v>3</v>
      </c>
      <c r="B28">
        <v>0</v>
      </c>
      <c r="D28">
        <v>0.20926942123237569</v>
      </c>
      <c r="E28">
        <v>2.9926921507794724</v>
      </c>
      <c r="G28">
        <v>2.2092694212323756</v>
      </c>
      <c r="H28">
        <v>4.9926921507794724</v>
      </c>
    </row>
    <row r="29" spans="1:11" x14ac:dyDescent="0.25">
      <c r="A29">
        <v>3</v>
      </c>
      <c r="B29">
        <v>1</v>
      </c>
      <c r="D29">
        <v>-0.78829462902744851</v>
      </c>
      <c r="E29">
        <v>3.0624486245235976</v>
      </c>
      <c r="G29">
        <v>1.2117053709725516</v>
      </c>
      <c r="H29">
        <v>5.0624486245235971</v>
      </c>
    </row>
    <row r="30" spans="1:11" x14ac:dyDescent="0.25">
      <c r="A30">
        <v>3</v>
      </c>
      <c r="B30">
        <v>2</v>
      </c>
      <c r="D30">
        <v>-1.7858586792872728</v>
      </c>
      <c r="E30">
        <v>3.1322050982677228</v>
      </c>
      <c r="G30">
        <v>0.21414132071272718</v>
      </c>
      <c r="H30">
        <v>5.1322050982677228</v>
      </c>
    </row>
    <row r="31" spans="1:11" x14ac:dyDescent="0.25">
      <c r="A31">
        <v>3</v>
      </c>
      <c r="B31">
        <v>3</v>
      </c>
      <c r="D31">
        <v>-2.7834227295470968</v>
      </c>
      <c r="E31">
        <v>3.2019615720118479</v>
      </c>
      <c r="G31">
        <v>-0.7834227295470968</v>
      </c>
      <c r="H31">
        <v>5.2019615720118484</v>
      </c>
    </row>
    <row r="32" spans="1:11" x14ac:dyDescent="0.25">
      <c r="A32">
        <v>2</v>
      </c>
      <c r="B32">
        <v>3</v>
      </c>
      <c r="D32">
        <v>-2.853179203291222</v>
      </c>
      <c r="E32">
        <v>2.204397521752024</v>
      </c>
      <c r="G32">
        <v>-0.85317920329122199</v>
      </c>
      <c r="H32">
        <v>4.204397521752024</v>
      </c>
    </row>
    <row r="33" spans="1:8" x14ac:dyDescent="0.25">
      <c r="A33">
        <v>1</v>
      </c>
      <c r="B33">
        <v>3</v>
      </c>
      <c r="D33">
        <v>-2.9229356770353472</v>
      </c>
      <c r="E33">
        <v>1.2068334714922</v>
      </c>
      <c r="G33">
        <v>-0.92293567703534718</v>
      </c>
      <c r="H33">
        <v>3.2068334714922</v>
      </c>
    </row>
    <row r="34" spans="1:8" x14ac:dyDescent="0.25">
      <c r="A34">
        <v>0</v>
      </c>
      <c r="B34">
        <v>3</v>
      </c>
      <c r="D34">
        <v>-2.9926921507794724</v>
      </c>
      <c r="E34">
        <v>0.20926942123237569</v>
      </c>
      <c r="G34">
        <v>-0.99269215077947237</v>
      </c>
      <c r="H34">
        <v>2.2092694212323756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5</xdr:col>
                    <xdr:colOff>352425</xdr:colOff>
                    <xdr:row>3</xdr:row>
                    <xdr:rowOff>66675</xdr:rowOff>
                  </from>
                  <to>
                    <xdr:col>9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zoomScale="130" zoomScaleNormal="130" workbookViewId="0">
      <selection sqref="A1:D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Plan1 (3)</vt:lpstr>
      <vt:lpstr>Plan1 (2)</vt:lpstr>
      <vt:lpstr>Plan1</vt:lpstr>
      <vt:lpstr>Plan2</vt:lpstr>
      <vt:lpstr>Plan3</vt:lpstr>
      <vt:lpstr>'Plan1 (2)'!Tranformada</vt:lpstr>
      <vt:lpstr>Tranformada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2013-07-11T18:20:53Z</dcterms:created>
  <dcterms:modified xsi:type="dcterms:W3CDTF">2013-07-25T02:36:47Z</dcterms:modified>
</cp:coreProperties>
</file>