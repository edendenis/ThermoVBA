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726" codeName="{F2B83AC3-3A92-4FF1-8D57-CA5CB3A19BB1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Eden\Google Drive\EdenSoft\Aplicativos\Tecellarius\"/>
    </mc:Choice>
  </mc:AlternateContent>
  <bookViews>
    <workbookView xWindow="240" yWindow="60" windowWidth="20115" windowHeight="8010" tabRatio="1000" activeTab="3"/>
  </bookViews>
  <sheets>
    <sheet name="Executar" sheetId="1" r:id="rId1"/>
    <sheet name="Mosaicum" sheetId="507" state="veryHidden" r:id="rId2"/>
    <sheet name="Mosaicum Ótimo" sheetId="508" r:id="rId3"/>
    <sheet name="Planilha1" sheetId="512" r:id="rId4"/>
    <sheet name="Teceras Sorteadas" sheetId="509" state="veryHidden" r:id="rId5"/>
    <sheet name="Mosaicum Anterior" sheetId="510" state="veryHidden" r:id="rId6"/>
    <sheet name="Teceras Pestapadas" sheetId="511" state="veryHidden" r:id="rId7"/>
  </sheets>
  <functionGroups builtInGroupCount="18"/>
  <calcPr calcId="171027"/>
</workbook>
</file>

<file path=xl/calcChain.xml><?xml version="1.0" encoding="utf-8"?>
<calcChain xmlns="http://schemas.openxmlformats.org/spreadsheetml/2006/main">
  <c r="T15" i="507" l="1"/>
  <c r="S15" i="507"/>
  <c r="Q15" i="507"/>
  <c r="S14" i="507"/>
  <c r="R14" i="507"/>
  <c r="Q14" i="507"/>
  <c r="S13" i="507"/>
  <c r="R13" i="507"/>
  <c r="Q13" i="507"/>
  <c r="S12" i="507"/>
  <c r="R12" i="507"/>
  <c r="Q12" i="507"/>
  <c r="S11" i="507"/>
  <c r="R11" i="507"/>
  <c r="Q11" i="507"/>
  <c r="S10" i="507"/>
  <c r="R10" i="507"/>
  <c r="Q10" i="507"/>
  <c r="S9" i="507"/>
  <c r="R9" i="507"/>
  <c r="Q9" i="507"/>
  <c r="T9" i="507" s="1"/>
  <c r="S8" i="507"/>
  <c r="R8" i="507"/>
  <c r="Q8" i="507"/>
  <c r="S7" i="507"/>
  <c r="R7" i="507"/>
  <c r="Q7" i="507"/>
  <c r="S6" i="507"/>
  <c r="R6" i="507"/>
  <c r="Q6" i="507"/>
  <c r="S5" i="507"/>
  <c r="R5" i="507"/>
  <c r="Q5" i="507"/>
  <c r="S4" i="507"/>
  <c r="R4" i="507"/>
  <c r="Q4" i="507"/>
  <c r="S3" i="507"/>
  <c r="R3" i="507"/>
  <c r="Q3" i="507"/>
  <c r="T3" i="507" s="1"/>
  <c r="S2" i="507"/>
  <c r="R2" i="507"/>
  <c r="Q2" i="507"/>
  <c r="S1" i="507"/>
  <c r="R1" i="507"/>
  <c r="Q1" i="507"/>
  <c r="T1" i="507" s="1"/>
  <c r="T8" i="507" l="1"/>
  <c r="T11" i="507"/>
  <c r="T6" i="507"/>
  <c r="T14" i="507"/>
  <c r="T4" i="507"/>
  <c r="T12" i="507"/>
  <c r="T7" i="507"/>
  <c r="T2" i="507"/>
  <c r="T10" i="507"/>
  <c r="T5" i="507"/>
  <c r="T13" i="507"/>
  <c r="T19" i="507"/>
  <c r="T18" i="507"/>
  <c r="R15" i="507"/>
  <c r="T17" i="507"/>
  <c r="T20" i="507" s="1"/>
</calcChain>
</file>

<file path=xl/sharedStrings.xml><?xml version="1.0" encoding="utf-8"?>
<sst xmlns="http://schemas.openxmlformats.org/spreadsheetml/2006/main" count="19" uniqueCount="19">
  <si>
    <t>Teceras Sorteadas</t>
  </si>
  <si>
    <t>Teceras Pestapadas</t>
  </si>
  <si>
    <t>X Tecera</t>
  </si>
  <si>
    <t>Y Tecera</t>
  </si>
  <si>
    <t xml:space="preserve">Número da iteração da solução = </t>
  </si>
  <si>
    <t xml:space="preserve">Comprimento do Mosaicum = </t>
  </si>
  <si>
    <t xml:space="preserve">Largura do Mosaicum = </t>
  </si>
  <si>
    <t xml:space="preserve">X Máximo = </t>
  </si>
  <si>
    <t xml:space="preserve">Y Máximo = </t>
  </si>
  <si>
    <t xml:space="preserve">Ensergia = </t>
  </si>
  <si>
    <t xml:space="preserve">Número de teceras = </t>
  </si>
  <si>
    <t xml:space="preserve">Número de teceras pestapadas = </t>
  </si>
  <si>
    <t xml:space="preserve">Tempo de Execução do Software = </t>
  </si>
  <si>
    <t xml:space="preserve">Fator de Redução (a) = </t>
  </si>
  <si>
    <t xml:space="preserve">Temperatura Inicial (TempInicial) = </t>
  </si>
  <si>
    <t xml:space="preserve">Pulo = </t>
  </si>
  <si>
    <t xml:space="preserve">Número de Iterações = </t>
  </si>
  <si>
    <t xml:space="preserve">Otimizar = </t>
  </si>
  <si>
    <t>Área. Qtde..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</si>
</sst>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0" borderId="0" xfId="0"/>
    <xf numFmtId="1" fontId="0" fillId="0" borderId="0" xfId="0" applyNumberFormat="1"/>
    <xf numFmtId="0" fontId="0" fillId="0" borderId="0" xfId="0"/>
    <xf numFmtId="0" fontId="2" fillId="0" borderId="0" xfId="0" applyFont="1"/>
    <xf numFmtId="21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9">
    <dxf>
      <font>
        <color theme="0"/>
      </font>
      <fill>
        <patternFill>
          <fgColor indexed="64"/>
          <bgColor theme="1"/>
        </patternFill>
      </fill>
    </dxf>
    <dxf>
      <font>
        <color rgb="FFFFFF00"/>
      </font>
      <fill>
        <patternFill>
          <fgColor indexed="64"/>
          <bgColor theme="1"/>
        </patternFill>
      </fill>
    </dxf>
    <dxf>
      <fill>
        <patternFill>
          <fgColor indexed="64"/>
          <bgColor theme="0" tint="-0.499984740745262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rgb="FFFFFF00"/>
      </font>
      <fill>
        <patternFill>
          <fgColor indexed="64"/>
          <bgColor theme="1"/>
        </patternFill>
      </fill>
    </dxf>
    <dxf>
      <fill>
        <patternFill>
          <fgColor indexed="64"/>
          <bgColor theme="0" tint="-0.499984740745262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rgb="FFFFFF00"/>
      </font>
      <fill>
        <patternFill>
          <fgColor indexed="64"/>
          <bgColor theme="1"/>
        </patternFill>
      </fill>
    </dxf>
    <dxf>
      <fill>
        <patternFill>
          <fgColor indexed="64"/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133350</xdr:rowOff>
        </xdr:from>
        <xdr:to>
          <xdr:col>0</xdr:col>
          <xdr:colOff>1457325</xdr:colOff>
          <xdr:row>0</xdr:row>
          <xdr:rowOff>628650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"/>
  <sheetViews>
    <sheetView workbookViewId="0"/>
  </sheetViews>
  <sheetFormatPr defaultColWidth="0" defaultRowHeight="15" zeroHeight="1" x14ac:dyDescent="0.25"/>
  <cols>
    <col min="1" max="1" width="23.85546875" customWidth="1"/>
    <col min="2" max="16384" width="9.140625" hidden="1"/>
  </cols>
  <sheetData>
    <row r="1" spans="1:1" ht="59.25" customHeight="1" x14ac:dyDescent="0.25">
      <c r="A1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otão1_Clique">
                <anchor moveWithCells="1">
                  <from>
                    <xdr:col>0</xdr:col>
                    <xdr:colOff>133350</xdr:colOff>
                    <xdr:row>0</xdr:row>
                    <xdr:rowOff>133350</xdr:rowOff>
                  </from>
                  <to>
                    <xdr:col>0</xdr:col>
                    <xdr:colOff>1457325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T20"/>
  <sheetViews>
    <sheetView workbookViewId="0">
      <selection sqref="A1:O15"/>
    </sheetView>
  </sheetViews>
  <sheetFormatPr defaultRowHeight="15" x14ac:dyDescent="0.25"/>
  <sheetData>
    <row r="1" spans="1:20" x14ac:dyDescent="0.25">
      <c r="A1" s="2">
        <v>1</v>
      </c>
      <c r="B1" s="2">
        <v>1</v>
      </c>
      <c r="C1" s="2">
        <v>1</v>
      </c>
      <c r="D1" s="2">
        <v>1</v>
      </c>
      <c r="E1" s="2">
        <v>0</v>
      </c>
      <c r="F1" s="2">
        <v>1</v>
      </c>
      <c r="G1" s="2">
        <v>1</v>
      </c>
      <c r="H1" s="2">
        <v>1</v>
      </c>
      <c r="I1" s="2">
        <v>1</v>
      </c>
      <c r="J1" s="2">
        <v>1</v>
      </c>
      <c r="K1" s="2">
        <v>1</v>
      </c>
      <c r="L1" s="2">
        <v>1</v>
      </c>
      <c r="M1" s="2">
        <v>1</v>
      </c>
      <c r="N1" s="2">
        <v>1</v>
      </c>
      <c r="O1" s="2">
        <v>1</v>
      </c>
      <c r="Q1">
        <f>COUNTIFS(Mosaicum!$A$1:$O$1,1)</f>
        <v>14</v>
      </c>
      <c r="R1">
        <f>COUNTIFS(Mosaicum!$A$1:$O$1,2)</f>
        <v>0</v>
      </c>
      <c r="S1">
        <f>COUNTIFS(Mosaicum!$A$1:$O$1,3)</f>
        <v>0</v>
      </c>
      <c r="T1">
        <f>SUM(Mosaicum!$Q$1:$S$1)</f>
        <v>14</v>
      </c>
    </row>
    <row r="2" spans="1:20" x14ac:dyDescent="0.25">
      <c r="A2" s="2">
        <v>1</v>
      </c>
      <c r="B2" s="2">
        <v>3</v>
      </c>
      <c r="C2" s="2">
        <v>3</v>
      </c>
      <c r="D2" s="2">
        <v>1</v>
      </c>
      <c r="E2" s="2">
        <v>0</v>
      </c>
      <c r="F2" s="2">
        <v>1</v>
      </c>
      <c r="G2" s="2">
        <v>3</v>
      </c>
      <c r="H2" s="2">
        <v>3</v>
      </c>
      <c r="I2" s="2">
        <v>3</v>
      </c>
      <c r="J2" s="2">
        <v>3</v>
      </c>
      <c r="K2" s="2">
        <v>3</v>
      </c>
      <c r="L2" s="2">
        <v>3</v>
      </c>
      <c r="M2" s="2">
        <v>3</v>
      </c>
      <c r="N2" s="2">
        <v>3</v>
      </c>
      <c r="O2" s="2">
        <v>1</v>
      </c>
      <c r="Q2">
        <f>COUNTIFS(Mosaicum!$A$2:$O$2,1)</f>
        <v>4</v>
      </c>
      <c r="R2">
        <f>COUNTIFS(Mosaicum!$A$2:$O$2,2)</f>
        <v>0</v>
      </c>
      <c r="S2">
        <f>COUNTIFS(Mosaicum!$A$2:$O$2,3)</f>
        <v>10</v>
      </c>
      <c r="T2">
        <f>SUM(Mosaicum!$Q$2:$S$2)</f>
        <v>14</v>
      </c>
    </row>
    <row r="3" spans="1:20" x14ac:dyDescent="0.25">
      <c r="A3" s="2">
        <v>1</v>
      </c>
      <c r="B3" s="2">
        <v>3</v>
      </c>
      <c r="C3" s="2">
        <v>3</v>
      </c>
      <c r="D3" s="2">
        <v>1</v>
      </c>
      <c r="E3" s="2">
        <v>0</v>
      </c>
      <c r="F3" s="2">
        <v>1</v>
      </c>
      <c r="G3" s="2">
        <v>3</v>
      </c>
      <c r="H3" s="2">
        <v>3</v>
      </c>
      <c r="I3" s="2">
        <v>3</v>
      </c>
      <c r="J3" s="2">
        <v>3</v>
      </c>
      <c r="K3" s="2">
        <v>3</v>
      </c>
      <c r="L3" s="2">
        <v>3</v>
      </c>
      <c r="M3" s="2">
        <v>3</v>
      </c>
      <c r="N3" s="2">
        <v>3</v>
      </c>
      <c r="O3" s="2">
        <v>1</v>
      </c>
      <c r="Q3">
        <f>COUNTIFS(Mosaicum!$A$3:$O$3,1)</f>
        <v>4</v>
      </c>
      <c r="R3">
        <f>COUNTIFS(Mosaicum!$A$3:$O$3,2)</f>
        <v>0</v>
      </c>
      <c r="S3">
        <f>COUNTIFS(Mosaicum!$A$3:$O$3,3)</f>
        <v>10</v>
      </c>
      <c r="T3">
        <f>SUM(Mosaicum!$Q$3:$S$3)</f>
        <v>14</v>
      </c>
    </row>
    <row r="4" spans="1:20" x14ac:dyDescent="0.25">
      <c r="A4" s="2">
        <v>1</v>
      </c>
      <c r="B4" s="2">
        <v>3</v>
      </c>
      <c r="C4" s="2">
        <v>3</v>
      </c>
      <c r="D4" s="2">
        <v>1</v>
      </c>
      <c r="E4" s="2">
        <v>1</v>
      </c>
      <c r="F4" s="2">
        <v>2</v>
      </c>
      <c r="G4" s="2">
        <v>2</v>
      </c>
      <c r="H4" s="2">
        <v>2</v>
      </c>
      <c r="I4" s="2">
        <v>2</v>
      </c>
      <c r="J4" s="2">
        <v>3</v>
      </c>
      <c r="K4" s="2">
        <v>3</v>
      </c>
      <c r="L4" s="2">
        <v>1</v>
      </c>
      <c r="M4" s="2">
        <v>1</v>
      </c>
      <c r="N4" s="2">
        <v>1</v>
      </c>
      <c r="O4" s="2">
        <v>1</v>
      </c>
      <c r="Q4">
        <f>COUNTIFS(Mosaicum!$A$4:$O$4,1)</f>
        <v>7</v>
      </c>
      <c r="R4">
        <f>COUNTIFS(Mosaicum!$A$4:$O$4,2)</f>
        <v>4</v>
      </c>
      <c r="S4">
        <f>COUNTIFS(Mosaicum!$A$4:$O$4,3)</f>
        <v>4</v>
      </c>
      <c r="T4">
        <f>SUM(Mosaicum!$Q$4:$S$4)</f>
        <v>15</v>
      </c>
    </row>
    <row r="5" spans="1:20" x14ac:dyDescent="0.25">
      <c r="A5" s="2">
        <v>1</v>
      </c>
      <c r="B5" s="2">
        <v>3</v>
      </c>
      <c r="C5" s="2">
        <v>3</v>
      </c>
      <c r="D5" s="2">
        <v>3</v>
      </c>
      <c r="E5" s="2">
        <v>3</v>
      </c>
      <c r="F5" s="2">
        <v>3</v>
      </c>
      <c r="G5" s="2">
        <v>3</v>
      </c>
      <c r="H5" s="2">
        <v>3</v>
      </c>
      <c r="I5" s="2">
        <v>2</v>
      </c>
      <c r="J5" s="2">
        <v>3</v>
      </c>
      <c r="K5" s="2">
        <v>3</v>
      </c>
      <c r="L5" s="2">
        <v>1</v>
      </c>
      <c r="M5" s="2">
        <v>0</v>
      </c>
      <c r="N5" s="2">
        <v>0</v>
      </c>
      <c r="O5" s="2">
        <v>0</v>
      </c>
      <c r="Q5">
        <f>COUNTIFS(Mosaicum!$A$5:$O$5,1)</f>
        <v>2</v>
      </c>
      <c r="R5">
        <f>COUNTIFS(Mosaicum!$A$5:$O$5,2)</f>
        <v>1</v>
      </c>
      <c r="S5">
        <f>COUNTIFS(Mosaicum!$A$5:$O$5,3)</f>
        <v>9</v>
      </c>
      <c r="T5">
        <f>SUM(Mosaicum!$Q$5:$S$5)</f>
        <v>12</v>
      </c>
    </row>
    <row r="6" spans="1:20" x14ac:dyDescent="0.25">
      <c r="A6" s="2">
        <v>1</v>
      </c>
      <c r="B6" s="2">
        <v>3</v>
      </c>
      <c r="C6" s="2">
        <v>3</v>
      </c>
      <c r="D6" s="2">
        <v>3</v>
      </c>
      <c r="E6" s="2">
        <v>3</v>
      </c>
      <c r="F6" s="2">
        <v>3</v>
      </c>
      <c r="G6" s="2">
        <v>3</v>
      </c>
      <c r="H6" s="2">
        <v>3</v>
      </c>
      <c r="I6" s="2">
        <v>2</v>
      </c>
      <c r="J6" s="2">
        <v>3</v>
      </c>
      <c r="K6" s="2">
        <v>3</v>
      </c>
      <c r="L6" s="2">
        <v>2</v>
      </c>
      <c r="M6" s="2">
        <v>1</v>
      </c>
      <c r="N6" s="2">
        <v>1</v>
      </c>
      <c r="O6" s="2">
        <v>1</v>
      </c>
      <c r="Q6">
        <f>COUNTIFS(Mosaicum!$A$6:$O$6,1)</f>
        <v>4</v>
      </c>
      <c r="R6">
        <f>COUNTIFS(Mosaicum!$A$6:$O$6,2)</f>
        <v>2</v>
      </c>
      <c r="S6">
        <f>COUNTIFS(Mosaicum!$A$6:$O$6,3)</f>
        <v>9</v>
      </c>
      <c r="T6">
        <f>SUM(Mosaicum!$Q$6:$S$6)</f>
        <v>15</v>
      </c>
    </row>
    <row r="7" spans="1:20" x14ac:dyDescent="0.25">
      <c r="A7" s="2">
        <v>1</v>
      </c>
      <c r="B7" s="2">
        <v>3</v>
      </c>
      <c r="C7" s="2">
        <v>3</v>
      </c>
      <c r="D7" s="2">
        <v>2</v>
      </c>
      <c r="E7" s="2">
        <v>2</v>
      </c>
      <c r="F7" s="2">
        <v>2</v>
      </c>
      <c r="G7" s="2">
        <v>2</v>
      </c>
      <c r="H7" s="2">
        <v>1</v>
      </c>
      <c r="I7" s="2">
        <v>2</v>
      </c>
      <c r="J7" s="2">
        <v>3</v>
      </c>
      <c r="K7" s="2">
        <v>3</v>
      </c>
      <c r="L7" s="2">
        <v>2</v>
      </c>
      <c r="M7" s="2">
        <v>3</v>
      </c>
      <c r="N7" s="2">
        <v>3</v>
      </c>
      <c r="O7" s="2">
        <v>1</v>
      </c>
      <c r="Q7">
        <f>COUNTIFS(Mosaicum!$A$7:$O$7,1)</f>
        <v>3</v>
      </c>
      <c r="R7">
        <f>COUNTIFS(Mosaicum!$A$7:$O$7,2)</f>
        <v>6</v>
      </c>
      <c r="S7">
        <f>COUNTIFS(Mosaicum!$A$7:$O$7,3)</f>
        <v>6</v>
      </c>
      <c r="T7">
        <f>SUM(Mosaicum!$Q$7:$S$7)</f>
        <v>15</v>
      </c>
    </row>
    <row r="8" spans="1:20" x14ac:dyDescent="0.25">
      <c r="A8" s="2">
        <v>1</v>
      </c>
      <c r="B8" s="2">
        <v>3</v>
      </c>
      <c r="C8" s="2">
        <v>3</v>
      </c>
      <c r="D8" s="2">
        <v>2</v>
      </c>
      <c r="E8" s="2">
        <v>3</v>
      </c>
      <c r="F8" s="2">
        <v>3</v>
      </c>
      <c r="G8" s="2">
        <v>1</v>
      </c>
      <c r="H8" s="2">
        <v>0</v>
      </c>
      <c r="I8" s="2">
        <v>1</v>
      </c>
      <c r="J8" s="2">
        <v>3</v>
      </c>
      <c r="K8" s="2">
        <v>3</v>
      </c>
      <c r="L8" s="2">
        <v>2</v>
      </c>
      <c r="M8" s="2">
        <v>3</v>
      </c>
      <c r="N8" s="2">
        <v>3</v>
      </c>
      <c r="O8" s="2">
        <v>1</v>
      </c>
      <c r="Q8">
        <f>COUNTIFS(Mosaicum!$A$8:$O$8,1)</f>
        <v>4</v>
      </c>
      <c r="R8">
        <f>COUNTIFS(Mosaicum!$A$8:$O$8,2)</f>
        <v>2</v>
      </c>
      <c r="S8">
        <f>COUNTIFS(Mosaicum!$A$8:$O$8,3)</f>
        <v>8</v>
      </c>
      <c r="T8">
        <f>SUM(Mosaicum!$Q$8:$S$8)</f>
        <v>14</v>
      </c>
    </row>
    <row r="9" spans="1:20" x14ac:dyDescent="0.25">
      <c r="A9" s="2">
        <v>1</v>
      </c>
      <c r="B9" s="2">
        <v>3</v>
      </c>
      <c r="C9" s="2">
        <v>3</v>
      </c>
      <c r="D9" s="2">
        <v>2</v>
      </c>
      <c r="E9" s="2">
        <v>3</v>
      </c>
      <c r="F9" s="2">
        <v>3</v>
      </c>
      <c r="G9" s="2">
        <v>2</v>
      </c>
      <c r="H9" s="2">
        <v>1</v>
      </c>
      <c r="I9" s="2">
        <v>2</v>
      </c>
      <c r="J9" s="2">
        <v>2</v>
      </c>
      <c r="K9" s="2">
        <v>2</v>
      </c>
      <c r="L9" s="2">
        <v>2</v>
      </c>
      <c r="M9" s="2">
        <v>3</v>
      </c>
      <c r="N9" s="2">
        <v>3</v>
      </c>
      <c r="O9" s="2">
        <v>1</v>
      </c>
      <c r="Q9">
        <f>COUNTIFS(Mosaicum!$A$9:$O$9,1)</f>
        <v>3</v>
      </c>
      <c r="R9">
        <f>COUNTIFS(Mosaicum!$A$9:$O$9,2)</f>
        <v>6</v>
      </c>
      <c r="S9">
        <f>COUNTIFS(Mosaicum!$A$9:$O$9,3)</f>
        <v>6</v>
      </c>
      <c r="T9">
        <f>SUM(Mosaicum!$Q$9:$S$9)</f>
        <v>15</v>
      </c>
    </row>
    <row r="10" spans="1:20" x14ac:dyDescent="0.25">
      <c r="A10" s="2">
        <v>1</v>
      </c>
      <c r="B10" s="2">
        <v>1</v>
      </c>
      <c r="C10" s="2">
        <v>1</v>
      </c>
      <c r="D10" s="2">
        <v>2</v>
      </c>
      <c r="E10" s="2">
        <v>3</v>
      </c>
      <c r="F10" s="2">
        <v>3</v>
      </c>
      <c r="G10" s="2">
        <v>2</v>
      </c>
      <c r="H10" s="2">
        <v>3</v>
      </c>
      <c r="I10" s="2">
        <v>3</v>
      </c>
      <c r="J10" s="2">
        <v>3</v>
      </c>
      <c r="K10" s="2">
        <v>3</v>
      </c>
      <c r="L10" s="2">
        <v>3</v>
      </c>
      <c r="M10" s="2">
        <v>3</v>
      </c>
      <c r="N10" s="2">
        <v>3</v>
      </c>
      <c r="O10" s="2">
        <v>1</v>
      </c>
      <c r="Q10">
        <f>COUNTIFS(Mosaicum!$A$10:$O$10,1)</f>
        <v>4</v>
      </c>
      <c r="R10">
        <f>COUNTIFS(Mosaicum!$A$10:$O$10,2)</f>
        <v>2</v>
      </c>
      <c r="S10">
        <f>COUNTIFS(Mosaicum!$A$10:$O$10,3)</f>
        <v>9</v>
      </c>
      <c r="T10">
        <f>SUM(Mosaicum!$Q$10:$S$10)</f>
        <v>15</v>
      </c>
    </row>
    <row r="11" spans="1:20" x14ac:dyDescent="0.25">
      <c r="A11" s="2">
        <v>0</v>
      </c>
      <c r="B11" s="2">
        <v>0</v>
      </c>
      <c r="C11" s="2">
        <v>0</v>
      </c>
      <c r="D11" s="2">
        <v>1</v>
      </c>
      <c r="E11" s="2">
        <v>3</v>
      </c>
      <c r="F11" s="2">
        <v>3</v>
      </c>
      <c r="G11" s="2">
        <v>2</v>
      </c>
      <c r="H11" s="2">
        <v>3</v>
      </c>
      <c r="I11" s="2">
        <v>3</v>
      </c>
      <c r="J11" s="2">
        <v>3</v>
      </c>
      <c r="K11" s="2">
        <v>3</v>
      </c>
      <c r="L11" s="2">
        <v>3</v>
      </c>
      <c r="M11" s="2">
        <v>3</v>
      </c>
      <c r="N11" s="2">
        <v>3</v>
      </c>
      <c r="O11" s="2">
        <v>1</v>
      </c>
      <c r="Q11">
        <f>COUNTIFS(Mosaicum!$A$11:$O$11,1)</f>
        <v>2</v>
      </c>
      <c r="R11">
        <f>COUNTIFS(Mosaicum!$A$11:$O$11,2)</f>
        <v>1</v>
      </c>
      <c r="S11">
        <f>COUNTIFS(Mosaicum!$A$11:$O$11,3)</f>
        <v>9</v>
      </c>
      <c r="T11">
        <f>SUM(Mosaicum!$Q$11:$S$11)</f>
        <v>12</v>
      </c>
    </row>
    <row r="12" spans="1:20" x14ac:dyDescent="0.25">
      <c r="A12" s="2">
        <v>1</v>
      </c>
      <c r="B12" s="2">
        <v>1</v>
      </c>
      <c r="C12" s="2">
        <v>1</v>
      </c>
      <c r="D12" s="2">
        <v>1</v>
      </c>
      <c r="E12" s="2">
        <v>3</v>
      </c>
      <c r="F12" s="2">
        <v>3</v>
      </c>
      <c r="G12" s="2">
        <v>2</v>
      </c>
      <c r="H12" s="2">
        <v>2</v>
      </c>
      <c r="I12" s="2">
        <v>2</v>
      </c>
      <c r="J12" s="2">
        <v>2</v>
      </c>
      <c r="K12" s="2">
        <v>1</v>
      </c>
      <c r="L12" s="2">
        <v>1</v>
      </c>
      <c r="M12" s="2">
        <v>3</v>
      </c>
      <c r="N12" s="2">
        <v>3</v>
      </c>
      <c r="O12" s="2">
        <v>1</v>
      </c>
      <c r="Q12">
        <f>COUNTIFS(Mosaicum!$A$12:$O$12,1)</f>
        <v>7</v>
      </c>
      <c r="R12">
        <f>COUNTIFS(Mosaicum!$A$12:$O$12,2)</f>
        <v>4</v>
      </c>
      <c r="S12">
        <f>COUNTIFS(Mosaicum!$A$12:$O$12,3)</f>
        <v>4</v>
      </c>
      <c r="T12">
        <f>SUM(Mosaicum!$Q$12:$S$12)</f>
        <v>15</v>
      </c>
    </row>
    <row r="13" spans="1:20" x14ac:dyDescent="0.25">
      <c r="A13" s="2">
        <v>1</v>
      </c>
      <c r="B13" s="2">
        <v>3</v>
      </c>
      <c r="C13" s="2">
        <v>3</v>
      </c>
      <c r="D13" s="2">
        <v>3</v>
      </c>
      <c r="E13" s="2">
        <v>3</v>
      </c>
      <c r="F13" s="2">
        <v>3</v>
      </c>
      <c r="G13" s="2">
        <v>3</v>
      </c>
      <c r="H13" s="2">
        <v>3</v>
      </c>
      <c r="I13" s="2">
        <v>3</v>
      </c>
      <c r="J13" s="2">
        <v>1</v>
      </c>
      <c r="K13" s="2">
        <v>0</v>
      </c>
      <c r="L13" s="2">
        <v>1</v>
      </c>
      <c r="M13" s="2">
        <v>3</v>
      </c>
      <c r="N13" s="2">
        <v>3</v>
      </c>
      <c r="O13" s="2">
        <v>1</v>
      </c>
      <c r="Q13">
        <f>COUNTIFS(Mosaicum!$A$13:$O$13,1)</f>
        <v>4</v>
      </c>
      <c r="R13">
        <f>COUNTIFS(Mosaicum!$A$13:$O$13,2)</f>
        <v>0</v>
      </c>
      <c r="S13">
        <f>COUNTIFS(Mosaicum!$A$13:$O$13,3)</f>
        <v>10</v>
      </c>
      <c r="T13">
        <f>SUM(Mosaicum!$Q$13:$S$13)</f>
        <v>14</v>
      </c>
    </row>
    <row r="14" spans="1:20" x14ac:dyDescent="0.25">
      <c r="A14" s="2">
        <v>1</v>
      </c>
      <c r="B14" s="2">
        <v>3</v>
      </c>
      <c r="C14" s="2">
        <v>3</v>
      </c>
      <c r="D14" s="2">
        <v>3</v>
      </c>
      <c r="E14" s="2">
        <v>3</v>
      </c>
      <c r="F14" s="2">
        <v>3</v>
      </c>
      <c r="G14" s="2">
        <v>3</v>
      </c>
      <c r="H14" s="2">
        <v>3</v>
      </c>
      <c r="I14" s="2">
        <v>3</v>
      </c>
      <c r="J14" s="2">
        <v>1</v>
      </c>
      <c r="K14" s="2">
        <v>0</v>
      </c>
      <c r="L14" s="2">
        <v>1</v>
      </c>
      <c r="M14" s="2">
        <v>3</v>
      </c>
      <c r="N14" s="2">
        <v>3</v>
      </c>
      <c r="O14" s="2">
        <v>1</v>
      </c>
      <c r="Q14">
        <f>COUNTIFS(Mosaicum!$A$14:$O$14,1)</f>
        <v>4</v>
      </c>
      <c r="R14">
        <f>COUNTIFS(Mosaicum!$A$14:$O$14,2)</f>
        <v>0</v>
      </c>
      <c r="S14">
        <f>COUNTIFS(Mosaicum!$A$14:$O$14,3)</f>
        <v>10</v>
      </c>
      <c r="T14">
        <f>SUM(Mosaicum!$Q$14:$S$14)</f>
        <v>14</v>
      </c>
    </row>
    <row r="15" spans="1:20" x14ac:dyDescent="0.25">
      <c r="A15" s="2">
        <v>1</v>
      </c>
      <c r="B15" s="2">
        <v>1</v>
      </c>
      <c r="C15" s="2">
        <v>1</v>
      </c>
      <c r="D15" s="2">
        <v>1</v>
      </c>
      <c r="E15" s="2">
        <v>1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0</v>
      </c>
      <c r="L15" s="2">
        <v>1</v>
      </c>
      <c r="M15" s="2">
        <v>1</v>
      </c>
      <c r="N15" s="2">
        <v>1</v>
      </c>
      <c r="O15" s="2">
        <v>1</v>
      </c>
      <c r="Q15">
        <f>COUNTIFS(Mosaicum!$A$15:$O$15,1)</f>
        <v>14</v>
      </c>
      <c r="R15">
        <f>MAX(Mosaicum!$T$1:$T$15)</f>
        <v>15</v>
      </c>
      <c r="S15">
        <f>MAX(Mosaicum!$A$15:$O$15)</f>
        <v>1</v>
      </c>
      <c r="T15">
        <f>15*1</f>
        <v>15</v>
      </c>
    </row>
    <row r="17" spans="20:20" x14ac:dyDescent="0.25">
      <c r="T17">
        <f>COUNTIFS(Mosaicum!$T$1:$T$15,1)</f>
        <v>0</v>
      </c>
    </row>
    <row r="18" spans="20:20" x14ac:dyDescent="0.25">
      <c r="T18">
        <f>COUNTIFS(Mosaicum!$T$1:$T$15,2)</f>
        <v>0</v>
      </c>
    </row>
    <row r="19" spans="20:20" x14ac:dyDescent="0.25">
      <c r="T19">
        <f>COUNTIFS(Mosaicum!$T$1:$T$15,3)</f>
        <v>0</v>
      </c>
    </row>
    <row r="20" spans="20:20" x14ac:dyDescent="0.25">
      <c r="T20">
        <f>SUM(Mosaicum!$T$17:$T$19)</f>
        <v>0</v>
      </c>
    </row>
  </sheetData>
  <conditionalFormatting sqref="A1:O15">
    <cfRule type="cellIs" dxfId="8" priority="1" operator="equal">
      <formula>3</formula>
    </cfRule>
    <cfRule type="cellIs" dxfId="7" priority="2" operator="equal">
      <formula>2</formula>
    </cfRule>
    <cfRule type="cellIs" dxfId="6" priority="3" operator="equal">
      <formula>1</formula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U30"/>
  <sheetViews>
    <sheetView workbookViewId="0">
      <selection activeCell="M14" sqref="M14:U14"/>
    </sheetView>
  </sheetViews>
  <sheetFormatPr defaultColWidth="2.7109375" defaultRowHeight="15" customHeight="1" x14ac:dyDescent="0.25"/>
  <sheetData>
    <row r="1" spans="1:21" ht="15" customHeight="1" x14ac:dyDescent="0.25">
      <c r="A1" s="5" t="s">
        <v>4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4">
        <v>1</v>
      </c>
      <c r="N1" s="4"/>
      <c r="O1" s="4"/>
      <c r="P1" s="4"/>
      <c r="Q1" s="4"/>
      <c r="R1" s="4"/>
      <c r="S1" s="4"/>
      <c r="T1" s="4"/>
      <c r="U1" s="4"/>
    </row>
    <row r="2" spans="1:21" ht="15" customHeight="1" x14ac:dyDescent="0.25">
      <c r="A2" s="5" t="s">
        <v>5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4">
        <v>15</v>
      </c>
      <c r="N2" s="4"/>
      <c r="O2" s="4"/>
      <c r="P2" s="4"/>
      <c r="Q2" s="4"/>
      <c r="R2" s="4"/>
      <c r="S2" s="4"/>
      <c r="T2" s="4"/>
      <c r="U2" s="4"/>
    </row>
    <row r="3" spans="1:21" ht="15" customHeight="1" x14ac:dyDescent="0.25">
      <c r="A3" s="5" t="s">
        <v>6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4">
        <v>15</v>
      </c>
      <c r="N3" s="4"/>
      <c r="O3" s="4"/>
      <c r="P3" s="4"/>
      <c r="Q3" s="4"/>
      <c r="R3" s="4"/>
      <c r="S3" s="4"/>
      <c r="T3" s="4"/>
      <c r="U3" s="4"/>
    </row>
    <row r="4" spans="1:21" ht="15" customHeight="1" x14ac:dyDescent="0.25">
      <c r="A4" s="5" t="s">
        <v>7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4">
        <v>15</v>
      </c>
      <c r="N4" s="4"/>
      <c r="O4" s="4"/>
      <c r="P4" s="4"/>
      <c r="Q4" s="4"/>
      <c r="R4" s="4"/>
      <c r="S4" s="4"/>
      <c r="T4" s="4"/>
      <c r="U4" s="4"/>
    </row>
    <row r="5" spans="1:21" ht="15" customHeight="1" x14ac:dyDescent="0.25">
      <c r="A5" s="5" t="s">
        <v>8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4">
        <v>1</v>
      </c>
      <c r="N5" s="4"/>
      <c r="O5" s="4"/>
      <c r="P5" s="4"/>
      <c r="Q5" s="4"/>
      <c r="R5" s="4"/>
      <c r="S5" s="4"/>
      <c r="T5" s="4"/>
      <c r="U5" s="4"/>
    </row>
    <row r="6" spans="1:21" ht="15" customHeight="1" x14ac:dyDescent="0.25">
      <c r="A6" s="5" t="s">
        <v>9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4">
        <v>210</v>
      </c>
      <c r="N6" s="4"/>
      <c r="O6" s="4"/>
      <c r="P6" s="4"/>
      <c r="Q6" s="4"/>
      <c r="R6" s="4"/>
      <c r="S6" s="4"/>
      <c r="T6" s="4"/>
      <c r="U6" s="4"/>
    </row>
    <row r="7" spans="1:21" ht="15" customHeight="1" x14ac:dyDescent="0.25">
      <c r="A7" s="5" t="s">
        <v>10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4">
        <v>4</v>
      </c>
      <c r="N7" s="4"/>
      <c r="O7" s="4"/>
      <c r="P7" s="4"/>
      <c r="Q7" s="4"/>
      <c r="R7" s="4"/>
      <c r="S7" s="4"/>
      <c r="T7" s="4"/>
      <c r="U7" s="4"/>
    </row>
    <row r="8" spans="1:21" ht="15" customHeight="1" x14ac:dyDescent="0.25">
      <c r="A8" s="5" t="s">
        <v>11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4">
        <v>4</v>
      </c>
      <c r="N8" s="4"/>
      <c r="O8" s="4"/>
      <c r="P8" s="4"/>
      <c r="Q8" s="4"/>
      <c r="R8" s="4"/>
      <c r="S8" s="4"/>
      <c r="T8" s="4"/>
      <c r="U8" s="4"/>
    </row>
    <row r="9" spans="1:21" ht="15" customHeight="1" x14ac:dyDescent="0.25">
      <c r="A9" s="5" t="s">
        <v>12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6">
        <v>1.8518518518518518E-4</v>
      </c>
      <c r="N9" s="6"/>
      <c r="O9" s="6"/>
      <c r="P9" s="6"/>
      <c r="Q9" s="6"/>
      <c r="R9" s="6"/>
      <c r="S9" s="6"/>
      <c r="T9" s="6"/>
      <c r="U9" s="6"/>
    </row>
    <row r="10" spans="1:21" ht="15" customHeight="1" x14ac:dyDescent="0.25">
      <c r="A10" s="5" t="s">
        <v>13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7">
        <v>0.75</v>
      </c>
      <c r="N10" s="7"/>
      <c r="O10" s="7"/>
      <c r="P10" s="7"/>
      <c r="Q10" s="7"/>
      <c r="R10" s="7"/>
      <c r="S10" s="7"/>
      <c r="T10" s="7"/>
      <c r="U10" s="7"/>
    </row>
    <row r="11" spans="1:21" ht="15" customHeight="1" x14ac:dyDescent="0.25">
      <c r="A11" s="5" t="s">
        <v>14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7">
        <v>10</v>
      </c>
      <c r="N11" s="7"/>
      <c r="O11" s="7"/>
      <c r="P11" s="7"/>
      <c r="Q11" s="7"/>
      <c r="R11" s="7"/>
      <c r="S11" s="7"/>
      <c r="T11" s="7"/>
      <c r="U11" s="7"/>
    </row>
    <row r="12" spans="1:21" ht="15" customHeight="1" x14ac:dyDescent="0.25">
      <c r="A12" s="5" t="s">
        <v>15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3">
        <v>1</v>
      </c>
      <c r="N12" s="3"/>
      <c r="O12" s="3"/>
      <c r="P12" s="3"/>
      <c r="Q12" s="3"/>
      <c r="R12" s="3"/>
      <c r="S12" s="3"/>
      <c r="T12" s="3"/>
      <c r="U12" s="3"/>
    </row>
    <row r="13" spans="1:21" ht="15" customHeight="1" x14ac:dyDescent="0.25">
      <c r="A13" s="5" t="s">
        <v>16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3">
        <v>1</v>
      </c>
      <c r="N13" s="3"/>
      <c r="O13" s="3"/>
      <c r="P13" s="3"/>
      <c r="Q13" s="3"/>
      <c r="R13" s="3"/>
      <c r="S13" s="3"/>
      <c r="T13" s="3"/>
      <c r="U13" s="3"/>
    </row>
    <row r="14" spans="1:21" ht="15" customHeight="1" x14ac:dyDescent="0.25">
      <c r="A14" s="5" t="s">
        <v>17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4" t="s">
        <v>18</v>
      </c>
      <c r="N14" s="4"/>
      <c r="O14" s="4"/>
      <c r="P14" s="4"/>
      <c r="Q14" s="4"/>
      <c r="R14" s="4"/>
      <c r="S14" s="4"/>
      <c r="T14" s="4"/>
      <c r="U14" s="4"/>
    </row>
    <row r="16" spans="1:21" ht="15" customHeight="1" x14ac:dyDescent="0.25">
      <c r="A16" s="2">
        <v>1</v>
      </c>
      <c r="B16" s="2">
        <v>1</v>
      </c>
      <c r="C16" s="2">
        <v>1</v>
      </c>
      <c r="D16" s="2">
        <v>1</v>
      </c>
      <c r="E16" s="2">
        <v>0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1</v>
      </c>
      <c r="L16" s="2">
        <v>1</v>
      </c>
      <c r="M16" s="2">
        <v>1</v>
      </c>
      <c r="N16" s="2">
        <v>1</v>
      </c>
      <c r="O16" s="2">
        <v>1</v>
      </c>
    </row>
    <row r="17" spans="1:15" ht="15" customHeight="1" x14ac:dyDescent="0.25">
      <c r="A17" s="2">
        <v>1</v>
      </c>
      <c r="B17" s="2">
        <v>3</v>
      </c>
      <c r="C17" s="2">
        <v>3</v>
      </c>
      <c r="D17" s="2">
        <v>1</v>
      </c>
      <c r="E17" s="2">
        <v>0</v>
      </c>
      <c r="F17" s="2">
        <v>1</v>
      </c>
      <c r="G17" s="2">
        <v>3</v>
      </c>
      <c r="H17" s="2">
        <v>3</v>
      </c>
      <c r="I17" s="2">
        <v>3</v>
      </c>
      <c r="J17" s="2">
        <v>3</v>
      </c>
      <c r="K17" s="2">
        <v>3</v>
      </c>
      <c r="L17" s="2">
        <v>3</v>
      </c>
      <c r="M17" s="2">
        <v>3</v>
      </c>
      <c r="N17" s="2">
        <v>3</v>
      </c>
      <c r="O17" s="2">
        <v>1</v>
      </c>
    </row>
    <row r="18" spans="1:15" ht="15" customHeight="1" x14ac:dyDescent="0.25">
      <c r="A18" s="2">
        <v>1</v>
      </c>
      <c r="B18" s="2">
        <v>3</v>
      </c>
      <c r="C18" s="2">
        <v>3</v>
      </c>
      <c r="D18" s="2">
        <v>1</v>
      </c>
      <c r="E18" s="2">
        <v>0</v>
      </c>
      <c r="F18" s="2">
        <v>1</v>
      </c>
      <c r="G18" s="2">
        <v>3</v>
      </c>
      <c r="H18" s="2">
        <v>3</v>
      </c>
      <c r="I18" s="2">
        <v>3</v>
      </c>
      <c r="J18" s="2">
        <v>3</v>
      </c>
      <c r="K18" s="2">
        <v>3</v>
      </c>
      <c r="L18" s="2">
        <v>3</v>
      </c>
      <c r="M18" s="2">
        <v>3</v>
      </c>
      <c r="N18" s="2">
        <v>3</v>
      </c>
      <c r="O18" s="2">
        <v>1</v>
      </c>
    </row>
    <row r="19" spans="1:15" ht="15" customHeight="1" x14ac:dyDescent="0.25">
      <c r="A19" s="2">
        <v>1</v>
      </c>
      <c r="B19" s="2">
        <v>3</v>
      </c>
      <c r="C19" s="2">
        <v>3</v>
      </c>
      <c r="D19" s="2">
        <v>1</v>
      </c>
      <c r="E19" s="2">
        <v>1</v>
      </c>
      <c r="F19" s="2">
        <v>2</v>
      </c>
      <c r="G19" s="2">
        <v>2</v>
      </c>
      <c r="H19" s="2">
        <v>2</v>
      </c>
      <c r="I19" s="2">
        <v>2</v>
      </c>
      <c r="J19" s="2">
        <v>3</v>
      </c>
      <c r="K19" s="2">
        <v>3</v>
      </c>
      <c r="L19" s="2">
        <v>1</v>
      </c>
      <c r="M19" s="2">
        <v>1</v>
      </c>
      <c r="N19" s="2">
        <v>1</v>
      </c>
      <c r="O19" s="2">
        <v>1</v>
      </c>
    </row>
    <row r="20" spans="1:15" ht="15" customHeight="1" x14ac:dyDescent="0.25">
      <c r="A20" s="2">
        <v>1</v>
      </c>
      <c r="B20" s="2">
        <v>3</v>
      </c>
      <c r="C20" s="2">
        <v>3</v>
      </c>
      <c r="D20" s="2">
        <v>3</v>
      </c>
      <c r="E20" s="2">
        <v>3</v>
      </c>
      <c r="F20" s="2">
        <v>3</v>
      </c>
      <c r="G20" s="2">
        <v>3</v>
      </c>
      <c r="H20" s="2">
        <v>3</v>
      </c>
      <c r="I20" s="2">
        <v>2</v>
      </c>
      <c r="J20" s="2">
        <v>3</v>
      </c>
      <c r="K20" s="2">
        <v>3</v>
      </c>
      <c r="L20" s="2">
        <v>1</v>
      </c>
      <c r="M20" s="2">
        <v>0</v>
      </c>
      <c r="N20" s="2">
        <v>0</v>
      </c>
      <c r="O20" s="2">
        <v>0</v>
      </c>
    </row>
    <row r="21" spans="1:15" ht="15" customHeight="1" x14ac:dyDescent="0.25">
      <c r="A21" s="2">
        <v>1</v>
      </c>
      <c r="B21" s="2">
        <v>3</v>
      </c>
      <c r="C21" s="2">
        <v>3</v>
      </c>
      <c r="D21" s="2">
        <v>3</v>
      </c>
      <c r="E21" s="2">
        <v>3</v>
      </c>
      <c r="F21" s="2">
        <v>3</v>
      </c>
      <c r="G21" s="2">
        <v>3</v>
      </c>
      <c r="H21" s="2">
        <v>3</v>
      </c>
      <c r="I21" s="2">
        <v>2</v>
      </c>
      <c r="J21" s="2">
        <v>3</v>
      </c>
      <c r="K21" s="2">
        <v>3</v>
      </c>
      <c r="L21" s="2">
        <v>2</v>
      </c>
      <c r="M21" s="2">
        <v>1</v>
      </c>
      <c r="N21" s="2">
        <v>1</v>
      </c>
      <c r="O21" s="2">
        <v>1</v>
      </c>
    </row>
    <row r="22" spans="1:15" ht="15" customHeight="1" x14ac:dyDescent="0.25">
      <c r="A22" s="2">
        <v>1</v>
      </c>
      <c r="B22" s="2">
        <v>3</v>
      </c>
      <c r="C22" s="2">
        <v>3</v>
      </c>
      <c r="D22" s="2">
        <v>2</v>
      </c>
      <c r="E22" s="2">
        <v>2</v>
      </c>
      <c r="F22" s="2">
        <v>2</v>
      </c>
      <c r="G22" s="2">
        <v>2</v>
      </c>
      <c r="H22" s="2">
        <v>1</v>
      </c>
      <c r="I22" s="2">
        <v>2</v>
      </c>
      <c r="J22" s="2">
        <v>3</v>
      </c>
      <c r="K22" s="2">
        <v>3</v>
      </c>
      <c r="L22" s="2">
        <v>2</v>
      </c>
      <c r="M22" s="2">
        <v>3</v>
      </c>
      <c r="N22" s="2">
        <v>3</v>
      </c>
      <c r="O22" s="2">
        <v>1</v>
      </c>
    </row>
    <row r="23" spans="1:15" ht="15" customHeight="1" x14ac:dyDescent="0.25">
      <c r="A23" s="2">
        <v>1</v>
      </c>
      <c r="B23" s="2">
        <v>3</v>
      </c>
      <c r="C23" s="2">
        <v>3</v>
      </c>
      <c r="D23" s="2">
        <v>2</v>
      </c>
      <c r="E23" s="2">
        <v>3</v>
      </c>
      <c r="F23" s="2">
        <v>3</v>
      </c>
      <c r="G23" s="2">
        <v>1</v>
      </c>
      <c r="H23" s="2">
        <v>0</v>
      </c>
      <c r="I23" s="2">
        <v>1</v>
      </c>
      <c r="J23" s="2">
        <v>3</v>
      </c>
      <c r="K23" s="2">
        <v>3</v>
      </c>
      <c r="L23" s="2">
        <v>2</v>
      </c>
      <c r="M23" s="2">
        <v>3</v>
      </c>
      <c r="N23" s="2">
        <v>3</v>
      </c>
      <c r="O23" s="2">
        <v>1</v>
      </c>
    </row>
    <row r="24" spans="1:15" ht="15" customHeight="1" x14ac:dyDescent="0.25">
      <c r="A24" s="2">
        <v>1</v>
      </c>
      <c r="B24" s="2">
        <v>3</v>
      </c>
      <c r="C24" s="2">
        <v>3</v>
      </c>
      <c r="D24" s="2">
        <v>2</v>
      </c>
      <c r="E24" s="2">
        <v>3</v>
      </c>
      <c r="F24" s="2">
        <v>3</v>
      </c>
      <c r="G24" s="2">
        <v>2</v>
      </c>
      <c r="H24" s="2">
        <v>1</v>
      </c>
      <c r="I24" s="2">
        <v>2</v>
      </c>
      <c r="J24" s="2">
        <v>2</v>
      </c>
      <c r="K24" s="2">
        <v>2</v>
      </c>
      <c r="L24" s="2">
        <v>2</v>
      </c>
      <c r="M24" s="2">
        <v>3</v>
      </c>
      <c r="N24" s="2">
        <v>3</v>
      </c>
      <c r="O24" s="2">
        <v>1</v>
      </c>
    </row>
    <row r="25" spans="1:15" ht="15" customHeight="1" x14ac:dyDescent="0.25">
      <c r="A25" s="2">
        <v>1</v>
      </c>
      <c r="B25" s="2">
        <v>1</v>
      </c>
      <c r="C25" s="2">
        <v>1</v>
      </c>
      <c r="D25" s="2">
        <v>2</v>
      </c>
      <c r="E25" s="2">
        <v>3</v>
      </c>
      <c r="F25" s="2">
        <v>3</v>
      </c>
      <c r="G25" s="2">
        <v>2</v>
      </c>
      <c r="H25" s="2">
        <v>3</v>
      </c>
      <c r="I25" s="2">
        <v>3</v>
      </c>
      <c r="J25" s="2">
        <v>3</v>
      </c>
      <c r="K25" s="2">
        <v>3</v>
      </c>
      <c r="L25" s="2">
        <v>3</v>
      </c>
      <c r="M25" s="2">
        <v>3</v>
      </c>
      <c r="N25" s="2">
        <v>3</v>
      </c>
      <c r="O25" s="2">
        <v>1</v>
      </c>
    </row>
    <row r="26" spans="1:15" ht="15" customHeight="1" x14ac:dyDescent="0.25">
      <c r="A26" s="2">
        <v>0</v>
      </c>
      <c r="B26" s="2">
        <v>0</v>
      </c>
      <c r="C26" s="2">
        <v>0</v>
      </c>
      <c r="D26" s="2">
        <v>1</v>
      </c>
      <c r="E26" s="2">
        <v>3</v>
      </c>
      <c r="F26" s="2">
        <v>3</v>
      </c>
      <c r="G26" s="2">
        <v>2</v>
      </c>
      <c r="H26" s="2">
        <v>3</v>
      </c>
      <c r="I26" s="2">
        <v>3</v>
      </c>
      <c r="J26" s="2">
        <v>3</v>
      </c>
      <c r="K26" s="2">
        <v>3</v>
      </c>
      <c r="L26" s="2">
        <v>3</v>
      </c>
      <c r="M26" s="2">
        <v>3</v>
      </c>
      <c r="N26" s="2">
        <v>3</v>
      </c>
      <c r="O26" s="2">
        <v>1</v>
      </c>
    </row>
    <row r="27" spans="1:15" ht="15" customHeight="1" x14ac:dyDescent="0.25">
      <c r="A27" s="2">
        <v>1</v>
      </c>
      <c r="B27" s="2">
        <v>1</v>
      </c>
      <c r="C27" s="2">
        <v>1</v>
      </c>
      <c r="D27" s="2">
        <v>1</v>
      </c>
      <c r="E27" s="2">
        <v>3</v>
      </c>
      <c r="F27" s="2">
        <v>3</v>
      </c>
      <c r="G27" s="2">
        <v>2</v>
      </c>
      <c r="H27" s="2">
        <v>2</v>
      </c>
      <c r="I27" s="2">
        <v>2</v>
      </c>
      <c r="J27" s="2">
        <v>2</v>
      </c>
      <c r="K27" s="2">
        <v>1</v>
      </c>
      <c r="L27" s="2">
        <v>1</v>
      </c>
      <c r="M27" s="2">
        <v>3</v>
      </c>
      <c r="N27" s="2">
        <v>3</v>
      </c>
      <c r="O27" s="2">
        <v>1</v>
      </c>
    </row>
    <row r="28" spans="1:15" ht="15" customHeight="1" x14ac:dyDescent="0.25">
      <c r="A28" s="2">
        <v>1</v>
      </c>
      <c r="B28" s="2">
        <v>3</v>
      </c>
      <c r="C28" s="2">
        <v>3</v>
      </c>
      <c r="D28" s="2">
        <v>3</v>
      </c>
      <c r="E28" s="2">
        <v>3</v>
      </c>
      <c r="F28" s="2">
        <v>3</v>
      </c>
      <c r="G28" s="2">
        <v>3</v>
      </c>
      <c r="H28" s="2">
        <v>3</v>
      </c>
      <c r="I28" s="2">
        <v>3</v>
      </c>
      <c r="J28" s="2">
        <v>1</v>
      </c>
      <c r="K28" s="2">
        <v>0</v>
      </c>
      <c r="L28" s="2">
        <v>1</v>
      </c>
      <c r="M28" s="2">
        <v>3</v>
      </c>
      <c r="N28" s="2">
        <v>3</v>
      </c>
      <c r="O28" s="2">
        <v>1</v>
      </c>
    </row>
    <row r="29" spans="1:15" ht="15" customHeight="1" x14ac:dyDescent="0.25">
      <c r="A29" s="2">
        <v>1</v>
      </c>
      <c r="B29" s="2">
        <v>3</v>
      </c>
      <c r="C29" s="2">
        <v>3</v>
      </c>
      <c r="D29" s="2">
        <v>3</v>
      </c>
      <c r="E29" s="2">
        <v>3</v>
      </c>
      <c r="F29" s="2">
        <v>3</v>
      </c>
      <c r="G29" s="2">
        <v>3</v>
      </c>
      <c r="H29" s="2">
        <v>3</v>
      </c>
      <c r="I29" s="2">
        <v>3</v>
      </c>
      <c r="J29" s="2">
        <v>1</v>
      </c>
      <c r="K29" s="2">
        <v>0</v>
      </c>
      <c r="L29" s="2">
        <v>1</v>
      </c>
      <c r="M29" s="2">
        <v>3</v>
      </c>
      <c r="N29" s="2">
        <v>3</v>
      </c>
      <c r="O29" s="2">
        <v>1</v>
      </c>
    </row>
    <row r="30" spans="1:15" ht="15" customHeight="1" x14ac:dyDescent="0.25">
      <c r="A30" s="2">
        <v>1</v>
      </c>
      <c r="B30" s="2">
        <v>1</v>
      </c>
      <c r="C30" s="2">
        <v>1</v>
      </c>
      <c r="D30" s="2">
        <v>1</v>
      </c>
      <c r="E30" s="2">
        <v>1</v>
      </c>
      <c r="F30" s="2">
        <v>1</v>
      </c>
      <c r="G30" s="2">
        <v>1</v>
      </c>
      <c r="H30" s="2">
        <v>1</v>
      </c>
      <c r="I30" s="2">
        <v>1</v>
      </c>
      <c r="J30" s="2">
        <v>1</v>
      </c>
      <c r="K30" s="2">
        <v>0</v>
      </c>
      <c r="L30" s="2">
        <v>1</v>
      </c>
      <c r="M30" s="2">
        <v>1</v>
      </c>
      <c r="N30" s="2">
        <v>1</v>
      </c>
      <c r="O30" s="2">
        <v>1</v>
      </c>
    </row>
  </sheetData>
  <mergeCells count="28">
    <mergeCell ref="A9:L9"/>
    <mergeCell ref="A10:L10"/>
    <mergeCell ref="A11:L11"/>
    <mergeCell ref="A12:L12"/>
    <mergeCell ref="A13:L13"/>
    <mergeCell ref="A14:L14"/>
    <mergeCell ref="M13:U13"/>
    <mergeCell ref="M14:U14"/>
    <mergeCell ref="A1:L1"/>
    <mergeCell ref="A2:L2"/>
    <mergeCell ref="A3:L3"/>
    <mergeCell ref="A4:L4"/>
    <mergeCell ref="A5:L5"/>
    <mergeCell ref="A6:L6"/>
    <mergeCell ref="A7:L7"/>
    <mergeCell ref="A8:L8"/>
    <mergeCell ref="M7:U7"/>
    <mergeCell ref="M8:U8"/>
    <mergeCell ref="M9:U9"/>
    <mergeCell ref="M10:U10"/>
    <mergeCell ref="M11:U11"/>
    <mergeCell ref="M12:U12"/>
    <mergeCell ref="M1:U1"/>
    <mergeCell ref="M2:U2"/>
    <mergeCell ref="M3:U3"/>
    <mergeCell ref="M4:U4"/>
    <mergeCell ref="M5:U5"/>
    <mergeCell ref="M6:U6"/>
  </mergeCells>
  <conditionalFormatting sqref="A16:O30">
    <cfRule type="cellIs" dxfId="5" priority="1" operator="equal">
      <formula>3</formula>
    </cfRule>
    <cfRule type="cellIs" dxfId="4" priority="2" operator="equal">
      <formula>2</formula>
    </cfRule>
    <cfRule type="cellIs" dxfId="3" priority="3" operator="equal">
      <formula>1</formula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"/>
  <sheetViews>
    <sheetView tabSelected="1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A5"/>
  <sheetViews>
    <sheetView workbookViewId="0">
      <selection activeCell="A5" sqref="A5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>
        <v>3</v>
      </c>
    </row>
    <row r="3" spans="1:1" x14ac:dyDescent="0.25">
      <c r="A3">
        <v>2</v>
      </c>
    </row>
    <row r="4" spans="1:1" x14ac:dyDescent="0.25">
      <c r="A4">
        <v>4</v>
      </c>
    </row>
    <row r="5" spans="1:1" x14ac:dyDescent="0.25">
      <c r="A5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O15"/>
  <sheetViews>
    <sheetView workbookViewId="0">
      <selection sqref="A1:O15"/>
    </sheetView>
  </sheetViews>
  <sheetFormatPr defaultRowHeight="15" x14ac:dyDescent="0.25"/>
  <sheetData>
    <row r="1" spans="1:15" x14ac:dyDescent="0.25">
      <c r="A1" s="2">
        <v>1</v>
      </c>
      <c r="B1" s="2">
        <v>1</v>
      </c>
      <c r="C1" s="2">
        <v>1</v>
      </c>
      <c r="D1" s="2">
        <v>1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</row>
    <row r="2" spans="1:15" x14ac:dyDescent="0.25">
      <c r="A2" s="2">
        <v>1</v>
      </c>
      <c r="B2" s="2">
        <v>3</v>
      </c>
      <c r="C2" s="2">
        <v>3</v>
      </c>
      <c r="D2" s="2">
        <v>1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</row>
    <row r="3" spans="1:15" x14ac:dyDescent="0.25">
      <c r="A3" s="2">
        <v>1</v>
      </c>
      <c r="B3" s="2">
        <v>3</v>
      </c>
      <c r="C3" s="2">
        <v>3</v>
      </c>
      <c r="D3" s="2">
        <v>1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</row>
    <row r="4" spans="1:15" x14ac:dyDescent="0.25">
      <c r="A4" s="2">
        <v>1</v>
      </c>
      <c r="B4" s="2">
        <v>3</v>
      </c>
      <c r="C4" s="2">
        <v>3</v>
      </c>
      <c r="D4" s="2">
        <v>1</v>
      </c>
      <c r="E4" s="2">
        <v>1</v>
      </c>
      <c r="F4" s="2">
        <v>1</v>
      </c>
      <c r="G4" s="2">
        <v>1</v>
      </c>
      <c r="H4" s="2">
        <v>1</v>
      </c>
      <c r="I4" s="2">
        <v>1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</row>
    <row r="5" spans="1:15" x14ac:dyDescent="0.25">
      <c r="A5" s="2">
        <v>1</v>
      </c>
      <c r="B5" s="2">
        <v>3</v>
      </c>
      <c r="C5" s="2">
        <v>3</v>
      </c>
      <c r="D5" s="2">
        <v>3</v>
      </c>
      <c r="E5" s="2">
        <v>3</v>
      </c>
      <c r="F5" s="2">
        <v>3</v>
      </c>
      <c r="G5" s="2">
        <v>3</v>
      </c>
      <c r="H5" s="2">
        <v>3</v>
      </c>
      <c r="I5" s="2">
        <v>1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</row>
    <row r="6" spans="1:15" x14ac:dyDescent="0.25">
      <c r="A6" s="2">
        <v>1</v>
      </c>
      <c r="B6" s="2">
        <v>3</v>
      </c>
      <c r="C6" s="2">
        <v>3</v>
      </c>
      <c r="D6" s="2">
        <v>3</v>
      </c>
      <c r="E6" s="2">
        <v>3</v>
      </c>
      <c r="F6" s="2">
        <v>3</v>
      </c>
      <c r="G6" s="2">
        <v>3</v>
      </c>
      <c r="H6" s="2">
        <v>3</v>
      </c>
      <c r="I6" s="2">
        <v>1</v>
      </c>
      <c r="J6" s="2">
        <v>0</v>
      </c>
      <c r="K6" s="2">
        <v>0</v>
      </c>
      <c r="L6" s="2">
        <v>1</v>
      </c>
      <c r="M6" s="2">
        <v>1</v>
      </c>
      <c r="N6" s="2">
        <v>1</v>
      </c>
      <c r="O6" s="2">
        <v>1</v>
      </c>
    </row>
    <row r="7" spans="1:15" x14ac:dyDescent="0.25">
      <c r="A7" s="2">
        <v>1</v>
      </c>
      <c r="B7" s="2">
        <v>3</v>
      </c>
      <c r="C7" s="2">
        <v>3</v>
      </c>
      <c r="D7" s="2">
        <v>2</v>
      </c>
      <c r="E7" s="2">
        <v>2</v>
      </c>
      <c r="F7" s="2">
        <v>2</v>
      </c>
      <c r="G7" s="2">
        <v>2</v>
      </c>
      <c r="H7" s="2">
        <v>1</v>
      </c>
      <c r="I7" s="2">
        <v>1</v>
      </c>
      <c r="J7" s="2">
        <v>0</v>
      </c>
      <c r="K7" s="2">
        <v>0</v>
      </c>
      <c r="L7" s="2">
        <v>1</v>
      </c>
      <c r="M7" s="2">
        <v>3</v>
      </c>
      <c r="N7" s="2">
        <v>3</v>
      </c>
      <c r="O7" s="2">
        <v>1</v>
      </c>
    </row>
    <row r="8" spans="1:15" x14ac:dyDescent="0.25">
      <c r="A8" s="2">
        <v>1</v>
      </c>
      <c r="B8" s="2">
        <v>3</v>
      </c>
      <c r="C8" s="2">
        <v>3</v>
      </c>
      <c r="D8" s="2">
        <v>2</v>
      </c>
      <c r="E8" s="2">
        <v>3</v>
      </c>
      <c r="F8" s="2">
        <v>3</v>
      </c>
      <c r="G8" s="2">
        <v>1</v>
      </c>
      <c r="H8" s="2">
        <v>0</v>
      </c>
      <c r="I8" s="2">
        <v>0</v>
      </c>
      <c r="J8" s="2">
        <v>0</v>
      </c>
      <c r="K8" s="2">
        <v>0</v>
      </c>
      <c r="L8" s="2">
        <v>1</v>
      </c>
      <c r="M8" s="2">
        <v>3</v>
      </c>
      <c r="N8" s="2">
        <v>3</v>
      </c>
      <c r="O8" s="2">
        <v>1</v>
      </c>
    </row>
    <row r="9" spans="1:15" x14ac:dyDescent="0.25">
      <c r="A9" s="2">
        <v>1</v>
      </c>
      <c r="B9" s="2">
        <v>3</v>
      </c>
      <c r="C9" s="2">
        <v>3</v>
      </c>
      <c r="D9" s="2">
        <v>2</v>
      </c>
      <c r="E9" s="2">
        <v>3</v>
      </c>
      <c r="F9" s="2">
        <v>3</v>
      </c>
      <c r="G9" s="2">
        <v>2</v>
      </c>
      <c r="H9" s="2">
        <v>1</v>
      </c>
      <c r="I9" s="2">
        <v>1</v>
      </c>
      <c r="J9" s="2">
        <v>1</v>
      </c>
      <c r="K9" s="2">
        <v>1</v>
      </c>
      <c r="L9" s="2">
        <v>1</v>
      </c>
      <c r="M9" s="2">
        <v>3</v>
      </c>
      <c r="N9" s="2">
        <v>3</v>
      </c>
      <c r="O9" s="2">
        <v>1</v>
      </c>
    </row>
    <row r="10" spans="1:15" x14ac:dyDescent="0.25">
      <c r="A10" s="2">
        <v>1</v>
      </c>
      <c r="B10" s="2">
        <v>1</v>
      </c>
      <c r="C10" s="2">
        <v>1</v>
      </c>
      <c r="D10" s="2">
        <v>2</v>
      </c>
      <c r="E10" s="2">
        <v>3</v>
      </c>
      <c r="F10" s="2">
        <v>3</v>
      </c>
      <c r="G10" s="2">
        <v>2</v>
      </c>
      <c r="H10" s="2">
        <v>3</v>
      </c>
      <c r="I10" s="2">
        <v>3</v>
      </c>
      <c r="J10" s="2">
        <v>3</v>
      </c>
      <c r="K10" s="2">
        <v>3</v>
      </c>
      <c r="L10" s="2">
        <v>3</v>
      </c>
      <c r="M10" s="2">
        <v>3</v>
      </c>
      <c r="N10" s="2">
        <v>3</v>
      </c>
      <c r="O10" s="2">
        <v>1</v>
      </c>
    </row>
    <row r="11" spans="1:15" x14ac:dyDescent="0.25">
      <c r="A11" s="2">
        <v>0</v>
      </c>
      <c r="B11" s="2">
        <v>0</v>
      </c>
      <c r="C11" s="2">
        <v>0</v>
      </c>
      <c r="D11" s="2">
        <v>1</v>
      </c>
      <c r="E11" s="2">
        <v>3</v>
      </c>
      <c r="F11" s="2">
        <v>3</v>
      </c>
      <c r="G11" s="2">
        <v>2</v>
      </c>
      <c r="H11" s="2">
        <v>3</v>
      </c>
      <c r="I11" s="2">
        <v>3</v>
      </c>
      <c r="J11" s="2">
        <v>3</v>
      </c>
      <c r="K11" s="2">
        <v>3</v>
      </c>
      <c r="L11" s="2">
        <v>3</v>
      </c>
      <c r="M11" s="2">
        <v>3</v>
      </c>
      <c r="N11" s="2">
        <v>3</v>
      </c>
      <c r="O11" s="2">
        <v>1</v>
      </c>
    </row>
    <row r="12" spans="1:15" x14ac:dyDescent="0.25">
      <c r="A12" s="2">
        <v>1</v>
      </c>
      <c r="B12" s="2">
        <v>1</v>
      </c>
      <c r="C12" s="2">
        <v>1</v>
      </c>
      <c r="D12" s="2">
        <v>1</v>
      </c>
      <c r="E12" s="2">
        <v>3</v>
      </c>
      <c r="F12" s="2">
        <v>3</v>
      </c>
      <c r="G12" s="2">
        <v>2</v>
      </c>
      <c r="H12" s="2">
        <v>2</v>
      </c>
      <c r="I12" s="2">
        <v>2</v>
      </c>
      <c r="J12" s="2">
        <v>2</v>
      </c>
      <c r="K12" s="2">
        <v>1</v>
      </c>
      <c r="L12" s="2">
        <v>1</v>
      </c>
      <c r="M12" s="2">
        <v>3</v>
      </c>
      <c r="N12" s="2">
        <v>3</v>
      </c>
      <c r="O12" s="2">
        <v>1</v>
      </c>
    </row>
    <row r="13" spans="1:15" x14ac:dyDescent="0.25">
      <c r="A13" s="2">
        <v>1</v>
      </c>
      <c r="B13" s="2">
        <v>3</v>
      </c>
      <c r="C13" s="2">
        <v>3</v>
      </c>
      <c r="D13" s="2">
        <v>3</v>
      </c>
      <c r="E13" s="2">
        <v>3</v>
      </c>
      <c r="F13" s="2">
        <v>3</v>
      </c>
      <c r="G13" s="2">
        <v>3</v>
      </c>
      <c r="H13" s="2">
        <v>3</v>
      </c>
      <c r="I13" s="2">
        <v>3</v>
      </c>
      <c r="J13" s="2">
        <v>1</v>
      </c>
      <c r="K13" s="2">
        <v>0</v>
      </c>
      <c r="L13" s="2">
        <v>1</v>
      </c>
      <c r="M13" s="2">
        <v>3</v>
      </c>
      <c r="N13" s="2">
        <v>3</v>
      </c>
      <c r="O13" s="2">
        <v>1</v>
      </c>
    </row>
    <row r="14" spans="1:15" x14ac:dyDescent="0.25">
      <c r="A14" s="2">
        <v>1</v>
      </c>
      <c r="B14" s="2">
        <v>3</v>
      </c>
      <c r="C14" s="2">
        <v>3</v>
      </c>
      <c r="D14" s="2">
        <v>3</v>
      </c>
      <c r="E14" s="2">
        <v>3</v>
      </c>
      <c r="F14" s="2">
        <v>3</v>
      </c>
      <c r="G14" s="2">
        <v>3</v>
      </c>
      <c r="H14" s="2">
        <v>3</v>
      </c>
      <c r="I14" s="2">
        <v>3</v>
      </c>
      <c r="J14" s="2">
        <v>1</v>
      </c>
      <c r="K14" s="2">
        <v>0</v>
      </c>
      <c r="L14" s="2">
        <v>1</v>
      </c>
      <c r="M14" s="2">
        <v>3</v>
      </c>
      <c r="N14" s="2">
        <v>3</v>
      </c>
      <c r="O14" s="2">
        <v>1</v>
      </c>
    </row>
    <row r="15" spans="1:15" x14ac:dyDescent="0.25">
      <c r="A15" s="2">
        <v>1</v>
      </c>
      <c r="B15" s="2">
        <v>1</v>
      </c>
      <c r="C15" s="2">
        <v>1</v>
      </c>
      <c r="D15" s="2">
        <v>1</v>
      </c>
      <c r="E15" s="2">
        <v>1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0</v>
      </c>
      <c r="L15" s="2">
        <v>1</v>
      </c>
      <c r="M15" s="2">
        <v>1</v>
      </c>
      <c r="N15" s="2">
        <v>1</v>
      </c>
      <c r="O15" s="2">
        <v>1</v>
      </c>
    </row>
  </sheetData>
  <conditionalFormatting sqref="A1:O15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C5"/>
  <sheetViews>
    <sheetView workbookViewId="0">
      <selection sqref="A1:C5"/>
    </sheetView>
  </sheetViews>
  <sheetFormatPr defaultRowHeight="15" x14ac:dyDescent="0.25"/>
  <sheetData>
    <row r="1" spans="1:3" x14ac:dyDescent="0.25">
      <c r="A1" t="s">
        <v>1</v>
      </c>
      <c r="B1" t="s">
        <v>2</v>
      </c>
      <c r="C1" t="s">
        <v>3</v>
      </c>
    </row>
    <row r="2" spans="1:3" x14ac:dyDescent="0.25">
      <c r="A2">
        <v>3</v>
      </c>
      <c r="B2">
        <v>0</v>
      </c>
      <c r="C2">
        <v>0</v>
      </c>
    </row>
    <row r="3" spans="1:3" x14ac:dyDescent="0.25">
      <c r="A3">
        <v>2</v>
      </c>
      <c r="B3">
        <v>0</v>
      </c>
      <c r="C3">
        <v>5</v>
      </c>
    </row>
    <row r="4" spans="1:3" x14ac:dyDescent="0.25">
      <c r="A4">
        <v>4</v>
      </c>
      <c r="B4">
        <v>6</v>
      </c>
      <c r="C4">
        <v>0</v>
      </c>
    </row>
    <row r="5" spans="1:3" x14ac:dyDescent="0.25">
      <c r="A5">
        <v>1</v>
      </c>
      <c r="B5">
        <v>5</v>
      </c>
      <c r="C5">
        <v>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Executar</vt:lpstr>
      <vt:lpstr>Mosaicum Ótimo</vt:lpstr>
      <vt:lpstr>Planilha1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Wellington Armando Garroti</dc:creator>
  <cp:lastModifiedBy>Eden Denis</cp:lastModifiedBy>
  <dcterms:created xsi:type="dcterms:W3CDTF">2015-08-09T10:47:58Z</dcterms:created>
  <dcterms:modified xsi:type="dcterms:W3CDTF">2017-04-23T15:20:06Z</dcterms:modified>
</cp:coreProperties>
</file>